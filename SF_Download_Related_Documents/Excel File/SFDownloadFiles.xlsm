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DownloadSFFiles" defaultThemeVersion="166925"/>
  <mc:AlternateContent xmlns:mc="http://schemas.openxmlformats.org/markup-compatibility/2006">
    <mc:Choice Requires="x15">
      <x15ac:absPath xmlns:x15ac="http://schemas.microsoft.com/office/spreadsheetml/2010/11/ac" url="C:\Users\jack_\Documents\PSITEX\OAG\OCPC\OCP Litigation Support\Development\"/>
    </mc:Choice>
  </mc:AlternateContent>
  <xr:revisionPtr revIDLastSave="0" documentId="13_ncr:1_{CC575B69-2DE7-42C3-8470-5A73246B24FF}" xr6:coauthVersionLast="47" xr6:coauthVersionMax="47" xr10:uidLastSave="{00000000-0000-0000-0000-000000000000}"/>
  <bookViews>
    <workbookView xWindow="-120" yWindow="-120" windowWidth="24240" windowHeight="13740" xr2:uid="{00000000-000D-0000-FFFF-FFFF00000000}"/>
  </bookViews>
  <sheets>
    <sheet name="SFDownload Parameters" sheetId="146" r:id="rId1"/>
    <sheet name="Linked Entity Table" sheetId="153" r:id="rId2"/>
    <sheet name="All WSC TSI Complaints" sheetId="5" r:id="rId3"/>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70" i="5" l="1"/>
  <c r="I362" i="5"/>
  <c r="I354" i="5"/>
  <c r="I346" i="5"/>
  <c r="I338" i="5"/>
  <c r="I330" i="5"/>
  <c r="I322" i="5"/>
  <c r="I314" i="5"/>
  <c r="I306" i="5"/>
  <c r="I298" i="5"/>
  <c r="I290" i="5"/>
  <c r="I282" i="5"/>
  <c r="I274" i="5"/>
  <c r="I266" i="5"/>
  <c r="I258" i="5"/>
  <c r="I250" i="5"/>
  <c r="I242" i="5"/>
  <c r="I234" i="5"/>
  <c r="I226" i="5"/>
  <c r="I218" i="5"/>
  <c r="I210" i="5"/>
  <c r="I202" i="5"/>
  <c r="I194" i="5"/>
  <c r="I186" i="5"/>
  <c r="I178" i="5"/>
  <c r="I170" i="5"/>
  <c r="I162" i="5"/>
  <c r="I154" i="5"/>
  <c r="I146" i="5"/>
  <c r="I138" i="5"/>
  <c r="I130" i="5"/>
  <c r="I122" i="5"/>
  <c r="I114" i="5"/>
  <c r="I106" i="5"/>
  <c r="I98" i="5"/>
  <c r="I90" i="5"/>
  <c r="I82" i="5"/>
  <c r="I74" i="5"/>
  <c r="I66" i="5"/>
  <c r="I58" i="5"/>
  <c r="I50" i="5"/>
  <c r="I42" i="5"/>
  <c r="I34" i="5"/>
  <c r="I26" i="5"/>
  <c r="I18" i="5"/>
  <c r="I65" i="5"/>
  <c r="I49" i="5"/>
  <c r="I33" i="5"/>
  <c r="I369" i="5"/>
  <c r="I361" i="5"/>
  <c r="I353" i="5"/>
  <c r="I345" i="5"/>
  <c r="I337" i="5"/>
  <c r="I329" i="5"/>
  <c r="I321" i="5"/>
  <c r="I313" i="5"/>
  <c r="I305" i="5"/>
  <c r="I297" i="5"/>
  <c r="I289" i="5"/>
  <c r="I281" i="5"/>
  <c r="I273" i="5"/>
  <c r="I265" i="5"/>
  <c r="I257" i="5"/>
  <c r="I249" i="5"/>
  <c r="I241" i="5"/>
  <c r="I233" i="5"/>
  <c r="I225" i="5"/>
  <c r="I217" i="5"/>
  <c r="I209" i="5"/>
  <c r="I201" i="5"/>
  <c r="I193" i="5"/>
  <c r="I185" i="5"/>
  <c r="I177" i="5"/>
  <c r="I169" i="5"/>
  <c r="I161" i="5"/>
  <c r="I153" i="5"/>
  <c r="I145" i="5"/>
  <c r="I137" i="5"/>
  <c r="I129" i="5"/>
  <c r="I121" i="5"/>
  <c r="I113" i="5"/>
  <c r="I105" i="5"/>
  <c r="I97" i="5"/>
  <c r="I89" i="5"/>
  <c r="I81" i="5"/>
  <c r="I73" i="5"/>
  <c r="I57" i="5"/>
  <c r="I41" i="5"/>
  <c r="I25" i="5"/>
  <c r="I368" i="5"/>
  <c r="I360" i="5"/>
  <c r="I352" i="5"/>
  <c r="I344" i="5"/>
  <c r="I336" i="5"/>
  <c r="I328" i="5"/>
  <c r="I320" i="5"/>
  <c r="I312" i="5"/>
  <c r="I304" i="5"/>
  <c r="I296" i="5"/>
  <c r="I288" i="5"/>
  <c r="I280" i="5"/>
  <c r="I272" i="5"/>
  <c r="I264" i="5"/>
  <c r="I256" i="5"/>
  <c r="I248" i="5"/>
  <c r="I240" i="5"/>
  <c r="I232" i="5"/>
  <c r="I224" i="5"/>
  <c r="I216" i="5"/>
  <c r="I208" i="5"/>
  <c r="I200" i="5"/>
  <c r="I192" i="5"/>
  <c r="I184" i="5"/>
  <c r="I176" i="5"/>
  <c r="I168" i="5"/>
  <c r="I160" i="5"/>
  <c r="I152" i="5"/>
  <c r="I144" i="5"/>
  <c r="I136" i="5"/>
  <c r="I128" i="5"/>
  <c r="I120" i="5"/>
  <c r="I112" i="5"/>
  <c r="I104" i="5"/>
  <c r="I96" i="5"/>
  <c r="I88" i="5"/>
  <c r="I80" i="5"/>
  <c r="I72" i="5"/>
  <c r="I64" i="5"/>
  <c r="I56" i="5"/>
  <c r="I48" i="5"/>
  <c r="I24" i="5"/>
  <c r="I367" i="5"/>
  <c r="I359" i="5"/>
  <c r="I351" i="5"/>
  <c r="I343" i="5"/>
  <c r="I335" i="5"/>
  <c r="I327" i="5"/>
  <c r="I319" i="5"/>
  <c r="I311" i="5"/>
  <c r="I303" i="5"/>
  <c r="I295" i="5"/>
  <c r="I287" i="5"/>
  <c r="I279" i="5"/>
  <c r="I271" i="5"/>
  <c r="I263" i="5"/>
  <c r="I255" i="5"/>
  <c r="I247" i="5"/>
  <c r="I239"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74" i="5"/>
  <c r="I158" i="5"/>
  <c r="I142" i="5"/>
  <c r="I126" i="5"/>
  <c r="I110" i="5"/>
  <c r="I94" i="5"/>
  <c r="I78" i="5"/>
  <c r="I62" i="5"/>
  <c r="I46" i="5"/>
  <c r="I30" i="5"/>
  <c r="I53" i="5"/>
  <c r="I29" i="5"/>
  <c r="I36" i="5"/>
  <c r="I339" i="5"/>
  <c r="I307" i="5"/>
  <c r="I275" i="5"/>
  <c r="I235" i="5"/>
  <c r="I203" i="5"/>
  <c r="I179" i="5"/>
  <c r="I155" i="5"/>
  <c r="I131" i="5"/>
  <c r="I107" i="5"/>
  <c r="I83" i="5"/>
  <c r="I59" i="5"/>
  <c r="I43" i="5"/>
  <c r="I19" i="5"/>
  <c r="I366" i="5"/>
  <c r="I358" i="5"/>
  <c r="I350" i="5"/>
  <c r="I342" i="5"/>
  <c r="I334" i="5"/>
  <c r="I326" i="5"/>
  <c r="I318" i="5"/>
  <c r="I310" i="5"/>
  <c r="I302" i="5"/>
  <c r="I294" i="5"/>
  <c r="I286" i="5"/>
  <c r="I278" i="5"/>
  <c r="I270" i="5"/>
  <c r="I262" i="5"/>
  <c r="I254" i="5"/>
  <c r="I246" i="5"/>
  <c r="I238" i="5"/>
  <c r="I230" i="5"/>
  <c r="I222" i="5"/>
  <c r="I214" i="5"/>
  <c r="I206" i="5"/>
  <c r="I198" i="5"/>
  <c r="I190" i="5"/>
  <c r="I182" i="5"/>
  <c r="I166" i="5"/>
  <c r="I150" i="5"/>
  <c r="I134" i="5"/>
  <c r="I118" i="5"/>
  <c r="I102" i="5"/>
  <c r="I86" i="5"/>
  <c r="I70" i="5"/>
  <c r="I54" i="5"/>
  <c r="I38" i="5"/>
  <c r="I22" i="5"/>
  <c r="I37" i="5"/>
  <c r="I28" i="5"/>
  <c r="I347" i="5"/>
  <c r="I315" i="5"/>
  <c r="I283" i="5"/>
  <c r="I243" i="5"/>
  <c r="I211" i="5"/>
  <c r="I187" i="5"/>
  <c r="I163" i="5"/>
  <c r="I139" i="5"/>
  <c r="I115" i="5"/>
  <c r="I91" i="5"/>
  <c r="I75" i="5"/>
  <c r="I51" i="5"/>
  <c r="I27" i="5"/>
  <c r="I32" i="5"/>
  <c r="I365" i="5"/>
  <c r="I357" i="5"/>
  <c r="I349" i="5"/>
  <c r="I341" i="5"/>
  <c r="I333" i="5"/>
  <c r="I325" i="5"/>
  <c r="I317" i="5"/>
  <c r="I309" i="5"/>
  <c r="I301" i="5"/>
  <c r="I293" i="5"/>
  <c r="I285" i="5"/>
  <c r="I277" i="5"/>
  <c r="I269" i="5"/>
  <c r="I261" i="5"/>
  <c r="I253" i="5"/>
  <c r="I245" i="5"/>
  <c r="I237" i="5"/>
  <c r="I229" i="5"/>
  <c r="I221" i="5"/>
  <c r="I213" i="5"/>
  <c r="I205" i="5"/>
  <c r="I197" i="5"/>
  <c r="I189" i="5"/>
  <c r="I181" i="5"/>
  <c r="I173" i="5"/>
  <c r="I165" i="5"/>
  <c r="I157" i="5"/>
  <c r="I149" i="5"/>
  <c r="I141" i="5"/>
  <c r="I133" i="5"/>
  <c r="I125" i="5"/>
  <c r="I117" i="5"/>
  <c r="I109" i="5"/>
  <c r="I101" i="5"/>
  <c r="I93" i="5"/>
  <c r="I85" i="5"/>
  <c r="I77" i="5"/>
  <c r="I69" i="5"/>
  <c r="I61" i="5"/>
  <c r="I45" i="5"/>
  <c r="I21" i="5"/>
  <c r="I355" i="5"/>
  <c r="I323" i="5"/>
  <c r="I291" i="5"/>
  <c r="I259" i="5"/>
  <c r="I227" i="5"/>
  <c r="I195" i="5"/>
  <c r="I171" i="5"/>
  <c r="I147" i="5"/>
  <c r="I123" i="5"/>
  <c r="I99" i="5"/>
  <c r="I67" i="5"/>
  <c r="I35" i="5"/>
  <c r="I40" i="5"/>
  <c r="I364" i="5"/>
  <c r="I356" i="5"/>
  <c r="I348" i="5"/>
  <c r="I340" i="5"/>
  <c r="I332" i="5"/>
  <c r="I324" i="5"/>
  <c r="I316" i="5"/>
  <c r="I308" i="5"/>
  <c r="I300" i="5"/>
  <c r="I292" i="5"/>
  <c r="I284" i="5"/>
  <c r="I276" i="5"/>
  <c r="I268" i="5"/>
  <c r="I260" i="5"/>
  <c r="I252" i="5"/>
  <c r="I244" i="5"/>
  <c r="I236" i="5"/>
  <c r="I228" i="5"/>
  <c r="I220" i="5"/>
  <c r="I212" i="5"/>
  <c r="I204" i="5"/>
  <c r="I196" i="5"/>
  <c r="I188" i="5"/>
  <c r="I180" i="5"/>
  <c r="I172" i="5"/>
  <c r="I164" i="5"/>
  <c r="I156" i="5"/>
  <c r="I148" i="5"/>
  <c r="I140" i="5"/>
  <c r="I132" i="5"/>
  <c r="I124" i="5"/>
  <c r="I116" i="5"/>
  <c r="I108" i="5"/>
  <c r="I100" i="5"/>
  <c r="I92" i="5"/>
  <c r="I84" i="5"/>
  <c r="I76" i="5"/>
  <c r="I68" i="5"/>
  <c r="I60" i="5"/>
  <c r="I52" i="5"/>
  <c r="I44" i="5"/>
  <c r="I20" i="5"/>
  <c r="I331" i="5"/>
  <c r="I299" i="5"/>
  <c r="I267" i="5"/>
  <c r="I251" i="5"/>
  <c r="I219" i="5"/>
  <c r="I363" i="5"/>
</calcChain>
</file>

<file path=xl/sharedStrings.xml><?xml version="1.0" encoding="utf-8"?>
<sst xmlns="http://schemas.openxmlformats.org/spreadsheetml/2006/main" count="3235" uniqueCount="2160">
  <si>
    <t>All WSC/TSI Annual Complaints Attachment</t>
  </si>
  <si>
    <t>As of 2021-09-01 18:44:04 Eastern Standard Time/EST • Generated by Jack D. Pond</t>
  </si>
  <si>
    <t>Filtered By</t>
  </si>
  <si>
    <t>Date Field: Opened Date equals Custom (3/1/2020 to null)</t>
  </si>
  <si>
    <t>Show: All cases</t>
  </si>
  <si>
    <t>Units: Hours</t>
  </si>
  <si>
    <t>Case Record Type equals Consumer Complaint,Consumer Complaint V2,Consumer Complaint Legacy</t>
  </si>
  <si>
    <t>Submission Status not equal to Scratch,Draft</t>
  </si>
  <si>
    <t>Status not equal to New,Draft</t>
  </si>
  <si>
    <t>Business Complained About contains washington sport,wsc,tsi,town sport</t>
  </si>
  <si>
    <t>Description contains washington sport,wsc,tsi,town sport</t>
  </si>
  <si>
    <t>Description does not contain outside</t>
  </si>
  <si>
    <t>Contact Name</t>
  </si>
  <si>
    <t>Contact: Email</t>
  </si>
  <si>
    <t>Contact: Phone</t>
  </si>
  <si>
    <t>Opened Date</t>
  </si>
  <si>
    <t>Business Complained About</t>
  </si>
  <si>
    <t>Subject</t>
  </si>
  <si>
    <t>Description</t>
  </si>
  <si>
    <t>Case Number</t>
  </si>
  <si>
    <t>Case ID</t>
  </si>
  <si>
    <t>Wendy Aluoch</t>
  </si>
  <si>
    <t>waluoch@law.gwu.edu</t>
  </si>
  <si>
    <t/>
  </si>
  <si>
    <t>3/13/2020</t>
  </si>
  <si>
    <t>Washington Sports Club</t>
  </si>
  <si>
    <t>Consumer Complaint about Washington Sports Club</t>
  </si>
  <si>
    <t>Even though there has been an emergency public health notice issued in D.C. with regard to Corona Virus, Washington Sports Club will not allow us to suspend our accounts  without having to pay for the $15 monthly fee, and no immediate cancellation is allowed as well without acquiring additional fees. Basically, they have implemented nothing in place in cases of "emergency" or "acts of god" or "natural forces," and we're left to continue paying  indefinitely for a services we cannot use for the next few weeks or months, without any accommodations. If the government and private business are cancelling public gatherings, are requiring people to work from home, etc., all in attempts to fight off the spread of this  sudden disease, I would think that there would be a requirement in place for business to be able to accommodate circumstances like this. Additionally, all cancellations, etc. have to be done in person which is utterly ridiculous if the main issue concerns curbing this health har</t>
  </si>
  <si>
    <t>00019167</t>
  </si>
  <si>
    <t>500t000000SeX38</t>
  </si>
  <si>
    <t>Debra Mekos</t>
  </si>
  <si>
    <t>tobiasdjm@gmail.com</t>
  </si>
  <si>
    <t>202-200-1497</t>
  </si>
  <si>
    <t>3/20/2020</t>
  </si>
  <si>
    <t>Washington Sports Clubs</t>
  </si>
  <si>
    <t>Consumer Complaint about Washington Sports Clubs</t>
  </si>
  <si>
    <t>I need assistance in cancelling my membership to Washington Sports Clubs in DC.  I recently tested positive for the coronavirus (COVID-19) and need to eliminate all nonessential expenses during the time I'm in quarantine and out of work, including the monthly $69.91 membership fee to Washington Sports Clubs automatically charged to my Amex card.  I was told I can cancel my membership at any time by visiting in person, but have no way of doing so since Washington Sports Clubs in DC are closed and are not answering their phones or leaving a voice message as to how they can be reached.</t>
  </si>
  <si>
    <t>00019220</t>
  </si>
  <si>
    <t>500t000000Sze1C</t>
  </si>
  <si>
    <t>Katrina Slisane</t>
  </si>
  <si>
    <t>katrina.slisane@gmail.com</t>
  </si>
  <si>
    <t>3/21/2020</t>
  </si>
  <si>
    <t>As a member of Washington Sports  Clubs (Dupont location),  I have received no communication from the club regarding my membership status during the Covid-19 closures.  On  Tuesday, the WSC gyms closed but they never contacted the members to announce it or provide any further information regarding membership status. The only piece of communication was a piece of paper on their door telling people to check the website. On website, there is a statement saying the clubs are closing until further notice but no mention of any further action regarding the membership charges. Seeing that the club requires 45 days of notice to cancel my contract, I cannot even stop the payments myself.</t>
  </si>
  <si>
    <t>00019230</t>
  </si>
  <si>
    <t>500t000000Szt2w</t>
  </si>
  <si>
    <t>Angela Ramirez</t>
  </si>
  <si>
    <t>ramirezangela336@gmail.com</t>
  </si>
  <si>
    <t>3/25/2020</t>
  </si>
  <si>
    <t>I am a member of Washington Sports Club and I have signed up for automatic monthly payments through my credit card.  As of March 16, 2020 the gym has been closed because of the public health concern.  While I appreciate this--the gym has posted no information on how I could either free my membership or cancel it.  _x000D_
_x000D_
I have tried calling their corporate number, the local branch number.  I have tried emailing through their website.  I have looked for information on their social media accounts.  I see nothing posted, so my plan is to dispute the charge and block them from my account once it posts.  I'd like to also receive a prorated refund for the days in March when they were not open._x000D_
_x000D_
Any advice here is welcome!</t>
  </si>
  <si>
    <t>00019280</t>
  </si>
  <si>
    <t>500t000000TU4aO</t>
  </si>
  <si>
    <t>Andrew Beehler</t>
  </si>
  <si>
    <t>beehler.am@gmail.com</t>
  </si>
  <si>
    <t>3012214404</t>
  </si>
  <si>
    <t>Town Sports International</t>
  </si>
  <si>
    <t>Consumer Complaint about Town Sports International</t>
  </si>
  <si>
    <t>Town Sports International (TSI), operating under the name Washington Sports Club, has made it impossible for members to cancel their membership contracts by leveraging the government mandated COVID-19 gym closure. For reference, TSI's refusal, obfuscation, and delay in cancelling memberships has resulted in numerous actions by the DC City Government (https://oag.dc.gov/sites/default/files/2019-01/Washington-Sports-Club-Complaint.pdf).</t>
  </si>
  <si>
    <t>00019283</t>
  </si>
  <si>
    <t>500t000000TUBTt</t>
  </si>
  <si>
    <t>Melissa Newcomb</t>
  </si>
  <si>
    <t>newcombms@gmail.com</t>
  </si>
  <si>
    <t>Washington Sports Club closed suddenly on March 20 with no warning for customers, no information about our gym memberships, and with no way for gym members to retrieve their items. Myself and many other members had tried to contact WSC for updates regarding whether or not they would be closing, and they did not respond to tweets nor did they pick up the phone. Now I can't access some of my belongings I had stored in a locker, and I have no idea if I will continue to be charged for my monthly membership (it renews April 1) or that charge will happen every month they are closed. I am complaining to DC Consumer Protection that WSC halt all charges to gym members, and provide pro-rated refunds for the days that we paid for that they closed. Also WSC needs to allow gym members to retrieve belongings or provide compensation for lost goods.</t>
  </si>
  <si>
    <t>00019284</t>
  </si>
  <si>
    <t>500t000000TUCxa</t>
  </si>
  <si>
    <t>Rishi Sahgal</t>
  </si>
  <si>
    <t>sahgalr@yahoo.com</t>
  </si>
  <si>
    <t>3/26/2020</t>
  </si>
  <si>
    <t>I saw that the AG's office is suing Washington Sports Club and have a number of causes of action. When I initially signed up in 2015, I was told that I would not have any annual fees but, after the initial year, I now have a $50 dollar fee that's charged to me. When I complained about it, they said that's standard and the manager who told me must have been wrong.  _x000D_
_x000D_
Also,  in 2018, I bought a package of three personal training classes for $200 and they had to cancel two of them so they said I would get a total of four. After I had three  unsatisfactory sessions, I asked for a fourth but, again, they said they had no record of it.</t>
  </si>
  <si>
    <t>00019299</t>
  </si>
  <si>
    <t>500t000000TUQIQ</t>
  </si>
  <si>
    <t>Jasmine Negron</t>
  </si>
  <si>
    <t>jnegron43@gmail.com</t>
  </si>
  <si>
    <t>Washington Sports Club /Towns Sports International</t>
  </si>
  <si>
    <t>Consumer Complaint about Washington Sports Club /Towns Sports International</t>
  </si>
  <si>
    <t>Washington Sports Club has closed but they are not returning any calls or emails regarding memberships fees.  They will not allow  people to cancel during this time and have only sent an automated response saying they will get back to members once they reopen, whenever that may be; while still charging fees.</t>
  </si>
  <si>
    <t>00019306</t>
  </si>
  <si>
    <t>500t000000TUTnz</t>
  </si>
  <si>
    <t>Maggie Rosenbloom</t>
  </si>
  <si>
    <t>maggiedara@gmail.com</t>
  </si>
  <si>
    <t>3/27/2020</t>
  </si>
  <si>
    <t>I am a member of the Washington Sports Club and I have contact them to ensure that I do not get charged a fee for the months of March and April due to coronavirus closures and health concerns. I have not heard back from them and ther does not appear to be a way to contact an actual person. I also contacted them in the past about late charges that occurred when my credit card they had on file expired and I did not receive any notice from them to update it. the charges seemed a bit excessive and I have nto heard back from them on that</t>
  </si>
  <si>
    <t>00019314</t>
  </si>
  <si>
    <t>500t000000TUaVH</t>
  </si>
  <si>
    <t>Katie Garner</t>
  </si>
  <si>
    <t>kgarner787@gmail.com</t>
  </si>
  <si>
    <t>I am a member of Washington Sports Club and due to COVID-19, they have made it impossible to cancel memberships. I have recently been laid off from my job due to COVID-19 and need to cancel. WSC has closed all of their locations in accordance with DC policies, but have provided no way for members to contact anyone from their team. I have also tried to reach out to Town Sports International by calling their membership services phone line, but each time I get a message saying that no one is available to speak with me. WSC has also not sent any email communication detailing to members if their memberships will be frozen or if they will still be taking monthly membership fees from us.</t>
  </si>
  <si>
    <t>00019320</t>
  </si>
  <si>
    <t>500t000000TUhnk</t>
  </si>
  <si>
    <t>Alexander Frisbie</t>
  </si>
  <si>
    <t>afrisbie88@gmail.com</t>
  </si>
  <si>
    <t>I have a gym membership with Washington Sports Club in Georgetown. I have not been told membership is paused and am worried I will be charged each month, despite the gym being closed. I have attempted to contact the gym but have not heard back. I received an email from their parent company Town Sports International, but they did not say membership fees would be paused until they were allowed to open. There is apparently a class-action lawsuit against the parent company but can you prevent them from charging their members?</t>
  </si>
  <si>
    <t>00019323</t>
  </si>
  <si>
    <t>500t000000TUkAg</t>
  </si>
  <si>
    <t>Allard Jordan</t>
  </si>
  <si>
    <t>dwyanej@gmail.com</t>
  </si>
  <si>
    <t>3/29/2020</t>
  </si>
  <si>
    <t>I can not login to my Washington Sports Club account to cancel my membership. I am a student living on student loans and my passwords suddenly do not work. I see others are having the same problem via Facebook post and on the Next Door neighborhood app.</t>
  </si>
  <si>
    <t>00019330</t>
  </si>
  <si>
    <t>500t000000TUtca</t>
  </si>
  <si>
    <t>Maya Beplat</t>
  </si>
  <si>
    <t>mayabeplat@gmail.com</t>
  </si>
  <si>
    <t>2029978769</t>
  </si>
  <si>
    <t>3/30/2020</t>
  </si>
  <si>
    <t>I am a member of Washington Sports Club. They have not communicated with customers (or at least not me) at all during this closure. I would like to suspend my membership while the gym is closed, which according to the website can be done, but this can only be done in person at the gym, which I can't do because it is closed. I have tried to call many times, as well as e-mail, and even twitter/facebook, with no response. I do not want to pay for a gym membership that I can't use.</t>
  </si>
  <si>
    <t>00019335</t>
  </si>
  <si>
    <t>500t000000TUzvN</t>
  </si>
  <si>
    <t>Ray Behbahani</t>
  </si>
  <si>
    <t>rbey1@yahoo.com</t>
  </si>
  <si>
    <t>202-907-7779</t>
  </si>
  <si>
    <t>Gym is closed due to COVD -19 virus, unable to cancel membership</t>
  </si>
  <si>
    <t>00019340</t>
  </si>
  <si>
    <t>500t000000TV4tV</t>
  </si>
  <si>
    <t>Taylor Maycan</t>
  </si>
  <si>
    <t>taylor.maycan@gmail.com</t>
  </si>
  <si>
    <t>3/31/2020</t>
  </si>
  <si>
    <t>Washington Sports Club is not allowing members to cancel their memberships. There is no way to do so on their website, no one answers the phone numbers listed in their contact info, and they have told members via email that they will "we will issue credits to your accounts and address all membership-related concerns once our gyms are operating." For furloughed or unemployed people (like myself), this is an unacceptable response. We are being forced to keep memberships we can't afford for the next few months, possible longer since it's unknown when clubs will be able to reopen.</t>
  </si>
  <si>
    <t>00019348</t>
  </si>
  <si>
    <t>500t000000TVMaF</t>
  </si>
  <si>
    <t>Darrow Merton</t>
  </si>
  <si>
    <t>sladed@gmail.com</t>
  </si>
  <si>
    <t>Washington Sports Club (Columbia Heights)</t>
  </si>
  <si>
    <t>Consumer Complaint about Washington Sports Club (Columbia Heights)</t>
  </si>
  <si>
    <t>My gym, Washington Sports Club (Columbia Heights location), appears to have intentionally made it impossible to get in contact with anyone to cancel a gym membership.  Because of my work with the State Department, I will soon be assigned on an overseas assignment and need to cancel my gym membership in DC.  I have been trying for two weeks to get a hold of anyone at WSC to cancel the membership; however due to COVID-19, they seem to be trying to avoid their members so members cannot cancel memberships and I am sure they will attempt to charge me for April and future months, despite my request to cancel membership due to my change in job, communicated via e-mail last week and by certified mail last week.</t>
  </si>
  <si>
    <t>00019346</t>
  </si>
  <si>
    <t>500t000000TVMOc</t>
  </si>
  <si>
    <t>Janey Moskowitz</t>
  </si>
  <si>
    <t>jmosky11@gmail.com</t>
  </si>
  <si>
    <t>Washington Sports Club (Town Sports Int.) is continuing to charge membership dues despite being closed. Additionally, they have laid off their entire staff and are STILL collecting dues.</t>
  </si>
  <si>
    <t>00019349</t>
  </si>
  <si>
    <t>500t000000TVOQa</t>
  </si>
  <si>
    <t>Concerned Citizen</t>
  </si>
  <si>
    <t>jackmehoeffer@gmail.com</t>
  </si>
  <si>
    <t>Washington Sports Clubs (Town Sports International) intends to continue to charge for memberships fees while the gyms are obviously closed. They say they will settle up after this is all over but this (along with a number of their other business practices) are shady, to be kind. There have been numerous questions/complaints sent to them but they have gone unanswered and the CEO seems unwilling to come up with a plan.</t>
  </si>
  <si>
    <t>00019350</t>
  </si>
  <si>
    <t>500t000000TVOhN</t>
  </si>
  <si>
    <t>Josh Simon</t>
  </si>
  <si>
    <t>joshsimon95@gmail.com</t>
  </si>
  <si>
    <t>The Washington Sports Club (WSC) is continuing to collect dues during the time of this pandemic, despite all governments at local and federal level have prohibited them from operating. With all other gyms offering the ability to pause or cancel memberships, WSC has continued to collect dues without providing any reason if they are paying staff with that money. Complete fraud to charge people for a product they are legally not allowed to receive. They also provide no communication to their members or an ability to contact them.</t>
  </si>
  <si>
    <t>00019351</t>
  </si>
  <si>
    <t>500t000000TVP5S</t>
  </si>
  <si>
    <t>Megan Larkin</t>
  </si>
  <si>
    <t>meganlrkn333@gmail.com</t>
  </si>
  <si>
    <t>Washington Sports Club (Town Sports International)</t>
  </si>
  <si>
    <t>Consumer Complaint about Washington Sports Club (Town Sports International)</t>
  </si>
  <si>
    <t>I am trying to cancel my membership at Washington Sports Club during the COVID-19 crisis. They are not responding to any emails, phone calls, and have only issued a vague statement to all members saying that clubs are closed and credits will be issued once things resume. I am not interested in a credit, however; I want to cancel my membership proactively and avoid paying the fees.</t>
  </si>
  <si>
    <t>00019354</t>
  </si>
  <si>
    <t>500t000000TVQWs</t>
  </si>
  <si>
    <t>Jacob Short</t>
  </si>
  <si>
    <t>jakeshort23@gmail.com</t>
  </si>
  <si>
    <t>With the quick onset of COVID-19 and the shutting down of most businesses and services, I did not have time to visit the Washington Sports Club (WSC) in Columbia Heights before they closed to request a freeze on my membership during the shutdown. I tried to email via their website to inquire about a freeze on my membership on March 25, to which I received an automatic response saying they had closed on March 17, saying "We will address any requests, questions and concerns when all clubs are fully operational." I received no confirmation email saying they had officially closed on March 17, and the only previous email I received was on March 6 saying how they were increasing their cleaning services, etc. in response to COVID-19. Then on March 26, I receive an email from Town Sports International (which owns WSC) CEO Patrick Walsh saying "Many of you have messaged us on social media, by phone, and by email asking about the status of your memberships and our expected reopen date. We apolog</t>
  </si>
  <si>
    <t>00019356</t>
  </si>
  <si>
    <t>500t000000TVRxw</t>
  </si>
  <si>
    <t>Sean McGrath</t>
  </si>
  <si>
    <t>sean.mcgrath@live.com</t>
  </si>
  <si>
    <t>9179298711</t>
  </si>
  <si>
    <t>Town Sports International (parent company of Washington Sports Club)</t>
  </si>
  <si>
    <t>Consumer Complaint about Town Sports International (parent company of Washington Sports Club)</t>
  </si>
  <si>
    <t>On March 14th, Washington Sports Club, just like all gyms throughout our region, closed on mayor’s orders. All personnel and management from the club, since then, have been impossible to reach and haven’t been responding to phone calls. Calls placed to Town Sports International were all directed to the message, “We are receiving an increased volume of calls and are unable to answer them at this time. Please try again later,” followed by the phone disconnecting. Last week, I received an email from them saying, “Rest assured, once we’re up and functionally running our clubs we will handle all of your concerns, including credits to your memberships, and personal training sessions.” But they are continuing to charge monthly fees even while the clubs are shut down, and I don’t trust this company to refund millions of dollars to members. What recourse do I have? I can’t even cancel my membership because the phone menu directs callers to “your local club manager” and doesn’t handle cancellati</t>
  </si>
  <si>
    <t>00019358</t>
  </si>
  <si>
    <t>500t000000TVTYB</t>
  </si>
  <si>
    <t>Adrienne Frederick</t>
  </si>
  <si>
    <t>adrienne.frederick@gmail.com</t>
  </si>
  <si>
    <t>I’ve been trying to cancel my Washington Sports Club membership and I’m unable to do so. There’s no way to submit a request on the website and no one is at the physical locations. They’ve indicated that they will be continuing to charge full membership dues during the Covid-19 shutdown as well without access to services beyond an app.</t>
  </si>
  <si>
    <t>00019359</t>
  </si>
  <si>
    <t>500t000000TVTi2</t>
  </si>
  <si>
    <t>Madeline Stone</t>
  </si>
  <si>
    <t>mcstone12@gmail.com</t>
  </si>
  <si>
    <t>I am a member of Washington Sports Club and despite being closed (and remaining closed for all of April and potentially May) they are planning on continuing to charge members without any services rendered. If they were at least continuing to pay their staff I'd be okay with that but they are not.  Because WSC is a cheaper option, I wonder if many members may be out of work currently due to the pandemic. It is unconscionable to ask people out of work to continue to pay for a gym they can't even use.</t>
  </si>
  <si>
    <t>00019360</t>
  </si>
  <si>
    <t>500t000000TVTnQ</t>
  </si>
  <si>
    <t>Lia Lindsey</t>
  </si>
  <si>
    <t>lia.jade@gmail.com</t>
  </si>
  <si>
    <t>Hello,_x000D_
_x000D_
I am writing regarding my membership with Washington Sports Club (WSC). _x000D_
_x000D_
Following the mayoral directive that gyms close in Washington DC on March 16, I called my local WSC location to put a "hold" on my membership, an opportunity extended under the contract I signed with WSC. The telephone rang and was never answered nor did my call go to voice mail. I then utilized the "contact us" form on their website to request the hold on my account, given that they are not providing any services to dues paying members. I never received a response. A few weeks later I received a general communication via email from the parent company stating that they had received many information requests regarding memberships and stated that when they open back up they will work with members to credit their account as a result of the COVID-19 emergency. _x000D_
_x000D_
I am concerned 1) that they may not honor their commitment to credit my account; 2) that when the emergency lifts I may not wish to continue my</t>
  </si>
  <si>
    <t>00019364</t>
  </si>
  <si>
    <t>500t000000TVVJp</t>
  </si>
  <si>
    <t>Janie Thompson</t>
  </si>
  <si>
    <t>janiewisethompson@gmail.com</t>
  </si>
  <si>
    <t>8653821433</t>
  </si>
  <si>
    <t>Hi,_x000D_
Washington Sports Club emailed today to say it would still charge full amounts for our monthly memberships - even though all staff we laid off 10 days ago. I cannot reach the company to cancel or pause my membership; and I understand they aren’t processing requests to cancel when people manage to reach them anyway! This is unconscionable and unfortunately too consistent with past misdeeds from WSC.</t>
  </si>
  <si>
    <t>00019367</t>
  </si>
  <si>
    <t>500t000000TVWFB</t>
  </si>
  <si>
    <t>Ashley Nindl</t>
  </si>
  <si>
    <t>nindlashley@gmail.com</t>
  </si>
  <si>
    <t>I am filing a complaint against Washington Sports Club, specifically the Glover Park location. My membership was “upgraded” without my knowledge or consent  to a pricier membership. This included a higher annual and higher monthly fees. When I realized that the gym was charging me more, I called the company three times and spoke to different front desk staff each time, explaining that I would like to be refunded for the months I was overcharged and to cancel my membership. They all said they wrote down my info and the GM Mike would be giving me a call. I was never reached out to by the GM or anyone else from WSC. Now that the gym is closed -starting sometime in early March, I cannot get a hold of anyone at this company and they continue to charge me for a monthly membership I never consented to, tried to cancel, and cannot even use because the gym is closed.</t>
  </si>
  <si>
    <t>00019366</t>
  </si>
  <si>
    <t>500t000000TVWBs</t>
  </si>
  <si>
    <t>Chelsea McCracken</t>
  </si>
  <si>
    <t>cmccrac1@ycp.edu</t>
  </si>
  <si>
    <t>7175805637</t>
  </si>
  <si>
    <t>Washington Sports Club continues to collect dues when their services are unavailable</t>
  </si>
  <si>
    <t>00019369</t>
  </si>
  <si>
    <t>500t000000TVXC3</t>
  </si>
  <si>
    <t>Geoffrey Bible</t>
  </si>
  <si>
    <t>geoffrey.bible@gmail.com</t>
  </si>
  <si>
    <t>I am a member of Washington Sports Club. I have tried to freeze my account during the COVID-19 crisis (via email, phone, and certified letter) with no response and they continue to charge for services that they are not offering.</t>
  </si>
  <si>
    <t>00019370</t>
  </si>
  <si>
    <t>500t000000TVXdS</t>
  </si>
  <si>
    <t>Albert Kang</t>
  </si>
  <si>
    <t>akang03@gmail.com</t>
  </si>
  <si>
    <t>4/1/2020</t>
  </si>
  <si>
    <t>Washington Sports Club has been charging me $30/month over what is stated in my contract for years now.  Furthermore, they are not responsive to any requests to either cancel or freeze my membership (during the shutdown) other than to acknowledge receipt of my communication.  Please help so many of us who are victims to their shady practices.  If we notify our bank to stop payment, they send the account to collection agencies.  Please initiate a class action so that we can cancel our memberships... they make it impossible to do so.  T_x000D_
_x000D_
Their contract also states that they will charge a cancellation fee even if we've fulfilled all of the terms of our obligations!!</t>
  </si>
  <si>
    <t>00019379</t>
  </si>
  <si>
    <t>500t000000TVksc</t>
  </si>
  <si>
    <t>Mike Stoever</t>
  </si>
  <si>
    <t>michael.stoever@gmail.com</t>
  </si>
  <si>
    <t xml:space="preserve">I have received three emails in the past couple of days that from Washington Sports Clubs' parent company (Town Sports International) which, after not receiving any correspondence from them from the beginning of the pandemic until now, states that they will continue collecting membership dues from all members throughout the crisis. This is, of course, problematic on multiple fronts, not the least of which is that I suspect they know this behavior is unseemly judging by the defensive posture of their emails._x000D_
_x000D_
First, there been zero indication that they have chosen this path in order to keep their staff employed, paid, and collecting benefits. This needs to be known and honestly, I don't trust that the answers to those three questions are anything but "no" to each._x000D_
_x000D_
Second, there is a significant number of WSC/TSI members who are employed in the restaurant industry (here I'm guessing that the "cheap membership as a double-edged sword" is coming into play). Now, I am fortunate that I </t>
  </si>
  <si>
    <t>00019378</t>
  </si>
  <si>
    <t>500t000000TVksX</t>
  </si>
  <si>
    <t>Cameron Royster</t>
  </si>
  <si>
    <t>cameronroyster@yahoo.com</t>
  </si>
  <si>
    <t>2408760141</t>
  </si>
  <si>
    <t>I have tried to cancel my membership with Washington Sports Club and they are still continually charging me even though there is no access to the Gym now currently and just got charged a $15.00 fee cause my card declined. I really hate this gym and would like to get out if there's any way possible. Please help me get out of this contract as you cannot get in contact with any of them right now!</t>
  </si>
  <si>
    <t>00019383</t>
  </si>
  <si>
    <t>500t000000TVnBF</t>
  </si>
  <si>
    <t>Udi Ghitza</t>
  </si>
  <si>
    <t>udi.ghitza@gmail.com</t>
  </si>
  <si>
    <t>Town Sports International (TSI)/Washington Sports Club</t>
  </si>
  <si>
    <t>Consumer Complaint about Town Sports International (TSI)/Washington Sports Club</t>
  </si>
  <si>
    <t>Town Sports International (TSI)/Washington Sports Club (WSC) is charging a membership fee despite services not being rendered due to closure of their gyms. TSI/WSC also has been non-responsive when member requested membership cancellation, despite multiple attempts to reach TSI/WSC.</t>
  </si>
  <si>
    <t>00019385</t>
  </si>
  <si>
    <t>500t000000TVnSk</t>
  </si>
  <si>
    <t>Ronnie Kweller</t>
  </si>
  <si>
    <t>rjkweller@gmail.com</t>
  </si>
  <si>
    <t>Town Sports International -Washington Sports Club</t>
  </si>
  <si>
    <t>Consumer Complaint about Town Sports International -Washington Sports Club</t>
  </si>
  <si>
    <t>My health club, Washington Sports Club, has been shut down since March 16 or 17 and is still charging dues, while telling members their dues will be refunded AFTER the coronovirus shutdown is over, but not being at all transparent about how adn when the refunds will happen  -- and putting the onus on the members to suspend the membership, Meanwhile the phones are not being answered at the company HQ._x000D_
I replied to the first of 2 company emails several days ago asking for details and never heard back. And I have not gotten a reply email today, after writing to the designated email address asking specific questions about suspending my membership. As today is the first of the month, the dues for April have already been auto-charged to my credit card.  There also is no word about a refund for the 2nd half of March, when the club was closed due to COVID-19. I intend to dispute the Aprll charge with my credit card company.</t>
  </si>
  <si>
    <t>00019384</t>
  </si>
  <si>
    <t>500t000000TVnKN</t>
  </si>
  <si>
    <t>Ryan Tauriainen</t>
  </si>
  <si>
    <t>finnryant@gmail.com</t>
  </si>
  <si>
    <t>Washington Sports Club/Town Sports International is not allowing members to cancel their memberships - this was a hardship they were making even before the COVID-19 Emergency.  Despite asking to cancel, they continue to bill me and will take me to collections if I do not pay.  However, all of their clubs are shut down.  They are not refunding members - they send emails about a free APP to use instead.  Because they fired all their staff, there is no one to communicate with about this matter in their company.  I believe their practices are not just.</t>
  </si>
  <si>
    <t>00019386</t>
  </si>
  <si>
    <t>500t000000TVo7t</t>
  </si>
  <si>
    <t>Faramarz Faramarzi</t>
  </si>
  <si>
    <t>frmrz.frmrzi@gmail.com</t>
  </si>
  <si>
    <t>Town sports international</t>
  </si>
  <si>
    <t>Consumer Complaint about Town sports international</t>
  </si>
  <si>
    <t>Washington Sports Club has charged my bank account for April’s gym membership. This is regardless of the favt that the GYM has been closed for almost 3 weeks.</t>
  </si>
  <si>
    <t>00019388</t>
  </si>
  <si>
    <t>500t000000TVpO9</t>
  </si>
  <si>
    <t>Sara Philibotte</t>
  </si>
  <si>
    <t>saraphilibotte@yahoo.com</t>
  </si>
  <si>
    <t>3035233218</t>
  </si>
  <si>
    <t>4/2/2020</t>
  </si>
  <si>
    <t>I have been trying to cancel my Washington Sports Club membership for weeks, and they have not answered their phone calls or emails for weeks. I was already charged the full fee for March when I couldn’t use their facilities for nearly 3 weeks, and I was just charged for April. All of their clubs are closed and they are still charging members, with no way for us to contact them and cancel our membership.</t>
  </si>
  <si>
    <t>00019389</t>
  </si>
  <si>
    <t>500t000000TVq5f</t>
  </si>
  <si>
    <t>Sheryl Augustine</t>
  </si>
  <si>
    <t>sheryl.augustine@gmail.com</t>
  </si>
  <si>
    <t>2028059330</t>
  </si>
  <si>
    <t>Washington Sports Club in the Washington DC area is still charging membership fee and their gym is closed during the corona virus. They haven’t given anyone the option to freeze their accounts and they’re still collecting money from their members.</t>
  </si>
  <si>
    <t>00019392</t>
  </si>
  <si>
    <t>500t000000TVtyx</t>
  </si>
  <si>
    <t>Blaire Burney</t>
  </si>
  <si>
    <t>bburney24@gmail.com</t>
  </si>
  <si>
    <t>Like many people, I’m assuming, I’ve been trying to reach Washington Sports Club/Town Sports International to cancel my monthly membership since the gym hasn’t been open since mid-March. I just checked my bank account and it was charged even though no one has an idea of when the gym will re-open. Please let me know what I can do to get my money back.</t>
  </si>
  <si>
    <t>00019393</t>
  </si>
  <si>
    <t>500t000000TVuiQ</t>
  </si>
  <si>
    <t>Jacqueline Fisher</t>
  </si>
  <si>
    <t>jfisher2@law.gwu.edu</t>
  </si>
  <si>
    <t>9148158860</t>
  </si>
  <si>
    <t>4/3/2020</t>
  </si>
  <si>
    <t>I am a member of Washington Sports Club in Dupont Circle and have been attempting to cancel my membership so that I am not charged for use of the facilities in COVID-19 closures. They have charged me for the month of April and I have no idea if I will be able to get a refund.</t>
  </si>
  <si>
    <t>00019401</t>
  </si>
  <si>
    <t>500t000000TWDHB</t>
  </si>
  <si>
    <t>Juliette Carpien</t>
  </si>
  <si>
    <t>carpien@rcn.com</t>
  </si>
  <si>
    <t>2023380760</t>
  </si>
  <si>
    <t>Washington Sports Club is closed and has been charging monthly fees.</t>
  </si>
  <si>
    <t>00019403</t>
  </si>
  <si>
    <t>500t000000TWGSj</t>
  </si>
  <si>
    <t>Vasu Reddy</t>
  </si>
  <si>
    <t>vasu329@gmail.com</t>
  </si>
  <si>
    <t>Washington Sports Club continues to charge membership fees despite all locations being closed. They provided no notifications and no process for freezing or canceling membership charges during the closure.</t>
  </si>
  <si>
    <t>00019404</t>
  </si>
  <si>
    <t>500t000000TWGtU</t>
  </si>
  <si>
    <t>Reis Thebault</t>
  </si>
  <si>
    <t>reis.thebault@gmail.com</t>
  </si>
  <si>
    <t>Washington Sports Club in Columbia Heights has ignored phone calls and emails requesting a cancellation of membership and on April 1, the facility charged me $74.19  for a monthly membership despite the fact that the facility is closed and that I have repeatedly requested the cancellation of my membership.</t>
  </si>
  <si>
    <t>00019406</t>
  </si>
  <si>
    <t>500t000000TWI1s</t>
  </si>
  <si>
    <t>anne Detrick</t>
  </si>
  <si>
    <t>detrick12360@gmail.com</t>
  </si>
  <si>
    <t>2027446686</t>
  </si>
  <si>
    <t>Washington Sports Club is still charging me even though it's closed for the duration.</t>
  </si>
  <si>
    <t>00019408</t>
  </si>
  <si>
    <t>500t000000TWIZm</t>
  </si>
  <si>
    <t>Eleanor Belilos</t>
  </si>
  <si>
    <t>ellie.belilos@gmail.com</t>
  </si>
  <si>
    <t>I am being taken advantage of by Washington Sports Clubs Inc. When the gym closed due to the covid pandemic on March 16, they did so without warning and without communication to their members for multiple days. Since then, I have tried to contact them using their "Contact Us" feature on their website regarding freezing my membership during this time as all of their gyms are closed and I cannot afford it due to the current economic stresses I am under. I have been ignored completely and have only gotten automated responses that do not address my concerns and offer me an Elite membership if I do not freeze my membership -- but then there is nowhere to decline this other than replying to the email AGAIN to repeat that I would like to freeze my membership. I then have done this multiple times and never get any response. Of course I understand that this is a challenging time for everyone, but the phone lines all go straight to a recording that says we cannot take your call right now and the</t>
  </si>
  <si>
    <t>00019410</t>
  </si>
  <si>
    <t>500t000000TWJJp</t>
  </si>
  <si>
    <t>Jessica Lange</t>
  </si>
  <si>
    <t>jessicalange96@gmail.com</t>
  </si>
  <si>
    <t>Washington Sports Club has continued to charge my credit card while the gyms are shutdown due to the coronavirus pandemic. I have attempted to call and email them to freeze my membership and no one has responded.</t>
  </si>
  <si>
    <t>00019412</t>
  </si>
  <si>
    <t>500t000000TWKbu</t>
  </si>
  <si>
    <t>Kurt Hall</t>
  </si>
  <si>
    <t>Kurtahall@hotmail.com</t>
  </si>
  <si>
    <t>I was charged by Washington Sports Clubs for a gym membership that I am unable to use due to the Covid 19 pandemic.</t>
  </si>
  <si>
    <t>00019416</t>
  </si>
  <si>
    <t>500t000000TWN2n</t>
  </si>
  <si>
    <t>Patrick Donahoe</t>
  </si>
  <si>
    <t>pdonahoe2@gmail.com</t>
  </si>
  <si>
    <t>8455318770</t>
  </si>
  <si>
    <t>4/4/2020</t>
  </si>
  <si>
    <t>I am a member of Washington Sports Club (subsidiary of Town Sports, I believe). They suddenly closed in mid-March due to coronavirus concerns and I have not been able to get in touch with anyone at WSC. Despite no longer offering any services, WSC charged my normal monthly fee on April 1st to my credit card on file.</t>
  </si>
  <si>
    <t>00019423</t>
  </si>
  <si>
    <t>500t000000TWRwS</t>
  </si>
  <si>
    <t>Jeff Carnes</t>
  </si>
  <si>
    <t>jroqz@yahoo.com</t>
  </si>
  <si>
    <t>Washington Sports Club (Glover Park location) charged me this month’s (April 2020) for membership fees despite me not being able to access the facility. I emailed their Help Desk (MemberHelp@tsiclubs.com) to freeze my account per the email they sent me, which I can provide upon request, on 01 April with no reply. _x000D_
_x000D_
In addition, the credit card linked to my Washington Sports Club account was replaced in late March, and I am concerned that I will get charged a late fee. Fixing this issue can only be done in person, which I cannot do due to the facility being closed.</t>
  </si>
  <si>
    <t>00019424</t>
  </si>
  <si>
    <t>500t000000TWT18</t>
  </si>
  <si>
    <t>William Perez</t>
  </si>
  <si>
    <t>willperez@mac.com</t>
  </si>
  <si>
    <t>9175358944</t>
  </si>
  <si>
    <t>Washington Sports Club continues to charge monthly fees even though the gyms are all closed due to COVID19.</t>
  </si>
  <si>
    <t>00019426</t>
  </si>
  <si>
    <t>500t000000TWTFZ</t>
  </si>
  <si>
    <t>Angel Rosales</t>
  </si>
  <si>
    <t>tombrady316@gmail.com</t>
  </si>
  <si>
    <t>Washington Sports Center</t>
  </si>
  <si>
    <t>Consumer Complaint about Washington Sports Center</t>
  </si>
  <si>
    <t>My complaint is about the fact that my account was accessed for $29.99 on April 1, 2020, the gym is closed due to the Corona Virus Pandemic.  I do not think that it is fair if I can't go to the gym due to the pandemic and that you would access my account instead of freezing the account.  I want my $29.99 put back into my account.</t>
  </si>
  <si>
    <t>00019425</t>
  </si>
  <si>
    <t>500t000000TWSnv</t>
  </si>
  <si>
    <t>Maureen Johnston</t>
  </si>
  <si>
    <t>mo.johnston@gmail.com</t>
  </si>
  <si>
    <t>Town Sports International, LLC.</t>
  </si>
  <si>
    <t>Consumer Complaint about Town Sports International, LLC.</t>
  </si>
  <si>
    <t>I have been a member of Washington Sports Club here in DC for over four years.  Due to the mayor's stay-at-home order, I sought to cancel my membership by contacting WSC via email.  (The gyms are closed, so it was impossible for me to communicate with representatives of management in person.)  I emailed Member Services on March 23 and requested to cancel my account. I received a bounce-back email directing me to this web-site - https://www.newyorksportsclubs.com/page/member-letter.  I wrote back indicating that I wanted to cancel my membership.  On March 31, I received an email indicating that they would "honor my request" and "freeze" my membership.  I wrote back immediately to explain that "freezing" my account was not my request and asked again for them to cancel my account.  The next day, they billed me for $15.</t>
  </si>
  <si>
    <t>00019428</t>
  </si>
  <si>
    <t>500t000000TWTse</t>
  </si>
  <si>
    <t>Mohammad T.</t>
  </si>
  <si>
    <t>modigimoto@gmail.com</t>
  </si>
  <si>
    <t>Contacted Washington Sports Club via email (MemberHelp@tsiclubs.com) on April 1st (2020)._x000D_
_x000D_
--_x000D_
_x000D_
To Whom It May Concern,_x000D_
_x000D_
Hope you're doing as well as possible. (Wishing you the best in safety and health.)_x000D_
_x000D_
Given the mandatory gym closure, I have a few questions._x000D_
_x000D_
1. Do you bill in advance or in arrears?_x000D_
_x000D_
2. If you bill in advance, could you reverse the charge for April?_x000D_
_x000D_
3. If not, could I receive a prorated credit since the date of the gym closure?_x000D_
_x000D_
4. Could I also cancel my membership (999805903) going forward without penalty?_x000D_
_x000D_
Appreciate your understanding._x000D_
_x000D_
Best,_x000D_
_x000D_
Mohammad_x000D_
_x000D_
--_x000D_
_x000D_
Haven't heard back yet. (Only been a few days.) But their CEO has said credits wouldn't be issued until gyms are operational, which could take several months. (Tried calling today, too. Message played.)_x000D_
_x000D_
Link: https://www.washingtonsportsclubs.com/page/member-letter_x000D_
_x000D_
Would hope that they could address this sooner. (Where is my money going while the gym is closed?) Concerned.</t>
  </si>
  <si>
    <t>00019430</t>
  </si>
  <si>
    <t>500t000000TWUhA</t>
  </si>
  <si>
    <t>Erica Thurman</t>
  </si>
  <si>
    <t>erica.a.thurman@gmail.com</t>
  </si>
  <si>
    <t>I emailed Washington Sports Club (1835 Connecticut Ave NW) to cancel on March 9 and was told someone would follow up in 48 hours later. 10 days later I emailed again and was told I would be put into a queue for cancellation. On April 4, I was charged a full membership fee despite Washington Sports Club being closed.</t>
  </si>
  <si>
    <t>00019431</t>
  </si>
  <si>
    <t>500t000000TWUi3</t>
  </si>
  <si>
    <t>Saksham Khosla</t>
  </si>
  <si>
    <t>sakshamkhosla93@gmail.com</t>
  </si>
  <si>
    <t>I am member of Washington Sports Club's Connective Avenue branch. My membership number is 0007138602.  I had reached out the gym repeatedly from March 29 onwards to know what the process was for freezing my monthly payments; alternatively, what the procedure is for cancelling my membership while the gym stays shut down due to the ongoing COVID-19 related closure of all non-essential businesses. I reached out to the following email IDs and received no response: _x000D_
- HereToHelp@tsiclubs.com_x000D_
- heretohelp@washingtonclubs.com_x000D_
- Michael.Lawson@washingtonsportsclubs.com (the Customer Service Manager with whom I signed my membership agreement) _x000D_
_x000D_
The gym cannot be charging me for services that it cannot provide. It has provided no accessible means of resolving multiple similar complaints (across several cities, as described here: https://oag.dc.gov/sites/default/files/2020-04/Town-Sports-International-Multistate-Letter.pdf) and has failed to send any replies to multiple emails to the above I</t>
  </si>
  <si>
    <t>00019433</t>
  </si>
  <si>
    <t>500t000000TWW7x</t>
  </si>
  <si>
    <t>Jorge Rodriguez</t>
  </si>
  <si>
    <t>jrlarrai@umich.edu</t>
  </si>
  <si>
    <t>9087451682</t>
  </si>
  <si>
    <t>WASHINGTON SPORTS CLUB</t>
  </si>
  <si>
    <t>Consumer Complaint about WASHINGTON SPORTS CLUB</t>
  </si>
  <si>
    <t>I have been charged for a membership at WSC,  while it has been cancelled.  Two months that have been cancelled, each at 74.19</t>
  </si>
  <si>
    <t>00019435</t>
  </si>
  <si>
    <t>500t000000TWWz1</t>
  </si>
  <si>
    <t>Abraham Chemuit</t>
  </si>
  <si>
    <t>achemuit@outlook.com</t>
  </si>
  <si>
    <t>2025537004</t>
  </si>
  <si>
    <t>Due to COVID-19,  the Washington Sports Club gym that I used ( I am a passport member so I can use all their clubs in the region) was closed as of 03/17/2020.  On 03/20/2020, I contacted WSC via email to request a suspension of fees  and, if that was not possible , a termination of my membership.  They responded with a generic letter saying that they "will address any requests, questions and concerns when all clubs are fully operational."  I sent out another email stating clearly that I would like to end my membership.  There was no further response from WSC.  I tried calling several times only to be met with a recorded message.</t>
  </si>
  <si>
    <t>00019436</t>
  </si>
  <si>
    <t>500t000000TWX0x</t>
  </si>
  <si>
    <t>Ashley Freeman</t>
  </si>
  <si>
    <t>ashley.freeman2@gmail.com</t>
  </si>
  <si>
    <t>Washington Sports Club illegally charged a monthly fee while the gym is shut down and no services are being rendered. No communication from them either to cancel or freeze memberships.</t>
  </si>
  <si>
    <t>00019437</t>
  </si>
  <si>
    <t>500t000000TWZIg</t>
  </si>
  <si>
    <t>Dmytro Hryckowian</t>
  </si>
  <si>
    <t>dm6tro13@gmail.com</t>
  </si>
  <si>
    <t>4/5/2020</t>
  </si>
  <si>
    <t>I was charged a membership fee for the month of April from Washington Sports Club</t>
  </si>
  <si>
    <t>00019438</t>
  </si>
  <si>
    <t>500t000000TWiC2</t>
  </si>
  <si>
    <t>Lawrence T. Caplan Caplan</t>
  </si>
  <si>
    <t>tomicaplan@aol.com</t>
  </si>
  <si>
    <t>202 338 9029</t>
  </si>
  <si>
    <t>Been debited April monthly funds for membership when Washington Sports Club closed from March 17th till present.  Truly believe it's an unlawful debit and illegal provided they've been closed</t>
  </si>
  <si>
    <t>00019441</t>
  </si>
  <si>
    <t>500t000000TWqSc</t>
  </si>
  <si>
    <t>Paul Blakeslee</t>
  </si>
  <si>
    <t>paul.m.blakeslee@gmail.com</t>
  </si>
  <si>
    <t>7032318884</t>
  </si>
  <si>
    <t>7/27/2020</t>
  </si>
  <si>
    <t>Consumer Complaint about Washington Sports Clubs Columbia Heights</t>
  </si>
  <si>
    <t>At the start of the covid-related shutdown in March of this year, I had a gym membership with Washington Sports Clubs. I froze my account with them on April 1, in response to an email from their parent company. However, despite my request, they then charged me full price ($63.59) for an April membership. On April 9th, their parent company sent an email to all members offering to cancel memberships with no fees or advance notice required, and so I immediately took them up on their offer. However, I discovered yesterday that they did not honor that cancellation, charging me $19.08 for the month of June (a pro-rated cost) and the full $63.59 for July.</t>
  </si>
  <si>
    <t>00021322</t>
  </si>
  <si>
    <t>500t000000Xpl1a</t>
  </si>
  <si>
    <t>Melinda Jelbaoui</t>
  </si>
  <si>
    <t>mjelbaoui@live.com</t>
  </si>
  <si>
    <t>2028349094</t>
  </si>
  <si>
    <t>7/5/2020</t>
  </si>
  <si>
    <t>Consumer Complaint about Washington Sports Club-Columbia Heights-DCUSA</t>
  </si>
  <si>
    <t>I was charged by Washington Sports Club in Columbia Heights after the Mayor closed business.  I was charged in April, not charged in May, but then charged again in June and July.  I have not used the gym—nor has my husband or Mother who are on my account—since February.  I have no spleen &amp; my mother is 72 so we cannot use the gym anytime in the for near future.  My husband is worried he will catch a Covid and, in turn, give it to me.  So, he will not be issuing the gym as well.  I am very upset that they have charged me and even charged me extra for personal training that NO ONE in the family used in April.  I am very upset and this has caused serious damage to my bank account.  We are already running short of money, so this is not a good thing.  I did want to mention I went in to see if anyone was there to make sure I would not be charged, but no one was there.  I also called several times and sent emails, no reply to either.  I am not really sure what to do.  Since no one will return</t>
  </si>
  <si>
    <t>00020946</t>
  </si>
  <si>
    <t>500t000000X52NH</t>
  </si>
  <si>
    <t>Karen Mawdsley</t>
  </si>
  <si>
    <t>kmawdsle@gmail.com</t>
  </si>
  <si>
    <t>2403445733</t>
  </si>
  <si>
    <t>6/28/2020</t>
  </si>
  <si>
    <t>I am a member of Washington Sports Clubs who has been unlawfully charged membership dues for the month of April during the COVID-19 pandemic when all gym facilities were closed and thus unable to provide the services that monthly membership payment would usually go toward. I just learned of the OAG’s April 3, 2020 letter regarding “ Town Sports International Holdings, Inc.’s Unlawful Response to the COVID-19 Pandemic and National Emergency” and am submitting this complaint as one of the individuals affected by Washington Sports Clubs’ response (or lack thereof) to the pandemic.</t>
  </si>
  <si>
    <t>00020829</t>
  </si>
  <si>
    <t>500t000000WWDkL</t>
  </si>
  <si>
    <t>William Cartrette</t>
  </si>
  <si>
    <t>jimmy.cartrette@gmail.com</t>
  </si>
  <si>
    <t>9102287123</t>
  </si>
  <si>
    <t>6/19/2020</t>
  </si>
  <si>
    <t>Consumer Complaint about Washington Sports Club of Columbia Heights</t>
  </si>
  <si>
    <t>I am trying to cancel my gym membership to Washington Sports Club in Columbia Heights but cannot contact anyone. I can only use an online form to email which gets no response.</t>
  </si>
  <si>
    <t>00020673</t>
  </si>
  <si>
    <t>500t000000WUZWk</t>
  </si>
  <si>
    <t>Sonia Crow</t>
  </si>
  <si>
    <t>soniacrow@comcast.net</t>
  </si>
  <si>
    <t>7/16/2020</t>
  </si>
  <si>
    <t>Consumer Complaint about Washington Sports Club - Glover Park</t>
  </si>
  <si>
    <t>Washington Sports Club- Glover Park won't honor my multiple requests to cancel membership and keeps billing my card with new charges (April through July, 2020, so far)</t>
  </si>
  <si>
    <t>00021143</t>
  </si>
  <si>
    <t>500t000000X7ReD</t>
  </si>
  <si>
    <t>Samuel Eichberg</t>
  </si>
  <si>
    <t>eichboy96@gmail.com</t>
  </si>
  <si>
    <t>7/6/2020</t>
  </si>
  <si>
    <t>Consumer Complaint about Washington Sports Clubs (Town Sports International)</t>
  </si>
  <si>
    <t>Washington Sports Clubs (part of Town Sports International) has charged my account / card on file without my permission, and for a reason which is unknown to me. I was told my membership would be frozen during the quarantine / pandemic. I've reached out to WSC / TSI numerous times (around 10 times over the past few weeks) and I've gotten no response or help.</t>
  </si>
  <si>
    <t>00020963</t>
  </si>
  <si>
    <t>500t000000X5Bep</t>
  </si>
  <si>
    <t>Gloria visconti</t>
  </si>
  <si>
    <t>gloria.visconti@gmail.com</t>
  </si>
  <si>
    <t>6177687289</t>
  </si>
  <si>
    <t>6/21/2020</t>
  </si>
  <si>
    <t>Consumer Complaint about Washington Sport Club DuPont Circle</t>
  </si>
  <si>
    <t>I have submitted several requests to cancel my membership to Washington Sport Clubs ( on April 6th, April 23rd and June 21st) in compliance with the agreement reached by AG Recine with TSI ( no fees charged for membership cancellation done by April 30th electronically). I have not received yet confirmation by WSC  or TSI that my membership has been cancelled, instead I receive today an email saying that gym will reopen on June 22nd and I will be charged for my membership again. _x000D_
I don’t want to go back to WSC and want to have my membership cancelled at no cost._x000D_
Please advice on how to move forward._x000D_
Thanks_x000D_
Gloria Visconti</t>
  </si>
  <si>
    <t>00020706</t>
  </si>
  <si>
    <t>500t000000WUtkz</t>
  </si>
  <si>
    <t>Dinh Tran</t>
  </si>
  <si>
    <t>dinhtran0430@gmail.com</t>
  </si>
  <si>
    <t>9177059656</t>
  </si>
  <si>
    <t>7/3/2020</t>
  </si>
  <si>
    <t>Consumer Complaint about washington sport club</t>
  </si>
  <si>
    <t>I was charged for gym membership during COVID.</t>
  </si>
  <si>
    <t>00020919</t>
  </si>
  <si>
    <t>500t000000X4nlV</t>
  </si>
  <si>
    <t>Paul Baker</t>
  </si>
  <si>
    <t>pmontbaker@yahoo.com</t>
  </si>
  <si>
    <t>202 483-0486</t>
  </si>
  <si>
    <t>Consumer Complaint about TSI Washington Sports Club Columbia Heights</t>
  </si>
  <si>
    <t>I cancelled my monthly subscription to Town Sports International's Washington Sports Club (Columbia Heights) on April 30, 2020. I followed the directions provided in AG Racine's letter and contacted WSC through their website that they cancel my membership. Today I found two charges to my Bank of America credit card from them: 1) $27.88 on 6/30/20, and 2) $92.94 on 7/2/20. The $92.94 charge reflects the normal monthly recurring payment to WSC. I have no idea what the $27.88 charge is for.</t>
  </si>
  <si>
    <t>00020967</t>
  </si>
  <si>
    <t>500t000000X5F7Q</t>
  </si>
  <si>
    <t>Debre Anyika</t>
  </si>
  <si>
    <t>d_anyika1@yahoo.com</t>
  </si>
  <si>
    <t>9/1/2020</t>
  </si>
  <si>
    <t>Consumer Complaint about Washington Sports Clubs/Town Sports Intl.</t>
  </si>
  <si>
    <t>I was charged by  Washington Sports Clubs on 4/1/2020 and 5/1/2020 for a gym location (Chinatown) that was closed due to COVID-19. I have now also been charged on 9/1/2020  under a new gym location (Columbia Heights).  I have never used Columbia Heights and  my month-to-month membership  was only for Chinatown. ($52.99 per month).  Their website says you can send a certified letter to cancel but does not provide an address. There is also no corporate phone number or email.</t>
  </si>
  <si>
    <t>00022035</t>
  </si>
  <si>
    <t>500t000000ZBrX2</t>
  </si>
  <si>
    <t>Matthew Lloyd</t>
  </si>
  <si>
    <t>mkalloyd@aol.com</t>
  </si>
  <si>
    <t>8/21/2020</t>
  </si>
  <si>
    <t>Consumer Complaint about Washington Sports Club/Town International Sports</t>
  </si>
  <si>
    <t>Seeking reimbursement of $254.36 for monthly (March and April) dues charged to my wife, Kim Lloyd, and I by Washington Sports Club when they were closed.</t>
  </si>
  <si>
    <t>00021775</t>
  </si>
  <si>
    <t>500t000000YXUEr</t>
  </si>
  <si>
    <t>Elana Hain</t>
  </si>
  <si>
    <t>elanahain@gmail.com</t>
  </si>
  <si>
    <t>Consumer Complaint about Washington Sports Club (WSC) Kalorama, Town Sports International, LLC (TSI)</t>
  </si>
  <si>
    <t>Washington Sports Club has not issued a refund for the  time they were closed in March and April.</t>
  </si>
  <si>
    <t>00021772</t>
  </si>
  <si>
    <t>500t000000YXRme</t>
  </si>
  <si>
    <t>M D</t>
  </si>
  <si>
    <t>GlobalExpeditionXV@yahoo.com</t>
  </si>
  <si>
    <t>8/29/2020</t>
  </si>
  <si>
    <t>Consumer Complaint about Town Sports Internation / Washington Sports Club</t>
  </si>
  <si>
    <t xml:space="preserve">Like many other members, I have been trying to freeze/cancel my gym membership with Washington Sports Club since March.  Here's a copy of a letter I mailed to them earlier this month.  Subsequently, I have also tried twice to cancel my subscription through their online contact form.  I have not received any reply, but am hoping that the credit card company will block further charges as I have requested from them: _x000D_
_x000D_
August 3, 2020_x000D_
_x000D_
Town Sports International Member Services_x000D_
One Highpoint Drive_x000D_
Chalfont, PA_x000D_
18914_x000D_
_x000D_
Re:  request for cancellation of membership_x000D_
_x000D_
Dear Member Services,_x000D_
_x000D_
I would like to cancel my membership number 4843307.  Included is also documentation of attempts to cancel it online and by email. _x000D_
_x000D_
I had requested to freeze the account for the first time on March 26th, and then again April 3rd when I learned that the gym had already closed but had not informed clients (I had to travel to support family by then). Subsequently I have been charged the following:_x000D_
</t>
  </si>
  <si>
    <t>00021968</t>
  </si>
  <si>
    <t>500t000000ZB745</t>
  </si>
  <si>
    <t>Patricia Martinez</t>
  </si>
  <si>
    <t>patriciamartinezguillen@gmail.com</t>
  </si>
  <si>
    <t>9/8/2020</t>
  </si>
  <si>
    <t>Consumer Complaint about WASHINGTON SPORT CLUBS</t>
  </si>
  <si>
    <t>Due to COVID-19 I asked my gym in April to pause my membership, however, once phase 2 began they opened their operations and without asking me they began to charge me the amount of the membership. They never sent me an email asking me  if I wanted to keep the hold or if I wanted to come back to the gym.</t>
  </si>
  <si>
    <t>00022167</t>
  </si>
  <si>
    <t>500t000000ZNKV7</t>
  </si>
  <si>
    <t>Sen Yuan Cheng</t>
  </si>
  <si>
    <t>sycheng21@gmail.com</t>
  </si>
  <si>
    <t>8/20/2020</t>
  </si>
  <si>
    <t>Consumer Complaint about Washington Sports Club, Connecticut Avenue downtown</t>
  </si>
  <si>
    <t>I want to file a complain against Washington Sports Club-Connecticut Ave. Since March, when Mayor Muriel Bowser ordered all non-essential businesses to close, WSC has charged me two month worth of dues (April and July) and partial due for June (when they reopened). I have since canceled my membership, but they have not refunded my dues</t>
  </si>
  <si>
    <t>00021752</t>
  </si>
  <si>
    <t>500t000000YXGnD</t>
  </si>
  <si>
    <t>David Olson</t>
  </si>
  <si>
    <t>david.olson@gmail.com</t>
  </si>
  <si>
    <t>9/9/2020</t>
  </si>
  <si>
    <t>I attempted to cancel my Washington Sports Club membership via email on August 3, 2020. TSI Member Services responded saying that cancellations were only accepted in person or via USPS mail. I mailed my cancellation letter to the DC, Philadelphia, and New York addresses I had for the business on August 4, 2020 and sent them an email with a PDF of the cancellation letter and a photo of the letters in the mailbox. I was charged on September 1, 2020 for my membership.</t>
  </si>
  <si>
    <t>00022193</t>
  </si>
  <si>
    <t>500t000000ZNUFI</t>
  </si>
  <si>
    <t>Zack Lynch</t>
  </si>
  <si>
    <t>zack.h.lynch@gmail.com</t>
  </si>
  <si>
    <t>3028419474</t>
  </si>
  <si>
    <t>9/10/2020</t>
  </si>
  <si>
    <t>Consumer Complaint about Washington Sports Club - Downtown Connecticut Ave.</t>
  </si>
  <si>
    <t>Good afternoon, _x000D_
_x000D_
I am currently being charged by Washington Sports Club for services I did not use during a pandemic - including the charge of annual fee. The membership dues that are being requested are for gym services that were deemed unlawful during the COVID-19 pandemic. I contacted the club to cancel my membership in August, citing the pandemic and the fact that I did not use their services when it was hazardous. _x000D_
_x000D_
The company is trying to collect a past due payment from March - September 2020. The company will not honor my cancellation as they state I have a past due balance from when they started to charge members during the allotted pandemic time. I was also never contacted about my desire to continue to use the Washington Sports Club service - and if I was, it was not in a manner that would've appropriately allowed me to cancel my service. _x000D_
_x000D_
I spoke with the General Manager Bruce in August, as I was surprised to receive past due notices via email. I informed him that I</t>
  </si>
  <si>
    <t>00022204</t>
  </si>
  <si>
    <t>500t000000ZNhLS</t>
  </si>
  <si>
    <t>David Haydu</t>
  </si>
  <si>
    <t>linda.abbruzzese@trade.gov</t>
  </si>
  <si>
    <t>202-333-2323</t>
  </si>
  <si>
    <t>8/24/2020</t>
  </si>
  <si>
    <t>Consumer Complaint about Washington Sports Club Glover Park</t>
  </si>
  <si>
    <t>Washington Sports Club Glover Park refused to send communication about how they handled COVID-19 to me as a member and they didn't reimburse my membership fees for months.  They would not reimburse me  for all of the months that I didn't attend.  Also, they are now in the process of cancelling my membership in September 2020 for no reason.  I spoke with Senior Business Manager that he was incorrect in his facts and that they did not send emails to me about any credits.</t>
  </si>
  <si>
    <t>00021842</t>
  </si>
  <si>
    <t>500t000000YY8mH</t>
  </si>
  <si>
    <t>Valerie Baron</t>
  </si>
  <si>
    <t>baron.valerie@gmail.com</t>
  </si>
  <si>
    <t>9/6/2020</t>
  </si>
  <si>
    <t>Washington Sports Club is billing me for services I never received, was never notified that I needed to pay for, could not have received (due to a medical condition). In August 2020 I noticed that my credit card had been billed for gym service, although I never knew that they had resumed or reopened. When WSC closed due to the Coronavirus, I did receive an email stating that they closed. I had assumed that when they reopened, they would similarly contact members. I have a medical condition that prohibits me from rejoining the gym at this time. At no point did I receive notice that I would be billed again without submitting a notice of termination. When I noticed that they started billing me again, I called my credit card company. They deemed the charge inappropriate and reversed it. In early September, I received a bill from WSC. I called immediately and was told by manager Keith Barrett that WSC members were contacted stating that they "brokered a deal with DC" that when Phase 2 start</t>
  </si>
  <si>
    <t>00022133</t>
  </si>
  <si>
    <t>500t000000ZMrqa</t>
  </si>
  <si>
    <t>Alberth Rodriguez</t>
  </si>
  <si>
    <t>alberth.rodriguez@gmail.com</t>
  </si>
  <si>
    <t>3015256389</t>
  </si>
  <si>
    <t>Consumer Complaint about Washington sports club columbia heights</t>
  </si>
  <si>
    <t>1) They were charging my credit card while the gym was closed during the pandemic._x000D_
2) sent out an email saying they could not give the money back but they would simply give us a credit when they reopened. _x000D_
3) no credit was given and they continue to charge my account. _x000D_
4) after a complain they finally gave me a credit that would apply towards my "cancellation fee". _x000D_
5) They decided to change their hours from 5 am to a (NON-MANDATED) 6 am and this is fine; however, I am in healthcare and this took away my ability to continue to come in. I decided to cancel my membership since they pretty much told me it may be indefinite. _x000D_
6) So I told them that I would need to cancel. They tell me that I have to pay for an additional 45 days  to cancel. I told  them that they were charging me when the gyms were closed. _x000D_
7) they charged my account on August 1st and I cancelled on August 8th. So I told them I would want that money back and they said the 45 days can not include money I already paid.</t>
  </si>
  <si>
    <t>00021731</t>
  </si>
  <si>
    <t>500t000000YXAsc</t>
  </si>
  <si>
    <t>SETH HENNES</t>
  </si>
  <si>
    <t>shennes@gmail.com</t>
  </si>
  <si>
    <t>Washington Sports Clubs, Glover Park branch (WSC), has not responded to numerous requests for cancelation.  On June 20th, I submitted an online request for cancelation.  I did not hear any response from this first request.  I attempted to request cancellation on June 22nd with no response.   During this time I was charged by WSC a prorated amount when gyms reopened per Mayor Bowser's reopening plan.  Additionally I was charged for July and August in full.  _x000D_
_x000D_
On August 11, 2020, I went in person to WSC and requested cancelation.  I filled out a form (copy attached) and was verbally told someone would reach out to me within 24-48 hours as this was only a "request for cancelation" and not an approved cancelation.   I have not yet been contacted by phone or email regarding this request._x000D_
_x000D_
I saw the news article about the OAG's filing against Town Sports and I contacted this office per the article.</t>
  </si>
  <si>
    <t>00021820</t>
  </si>
  <si>
    <t>500t000000YY09n</t>
  </si>
  <si>
    <t>Jun Yang</t>
  </si>
  <si>
    <t>harryhan1111@gmail.com</t>
  </si>
  <si>
    <t>202-986-0315</t>
  </si>
  <si>
    <t>8/25/2020</t>
  </si>
  <si>
    <t>Consumer Complaint about Town Sports International, LLC (TSI), d/b/a WASHINGTON SPORTS CLUBS ("WSC")</t>
  </si>
  <si>
    <t>My name is Jun Yang and I am a current member of the Washington Sports Club  (Town Sports International, LLC (TSI), d/b/a WASHINGTON SPORTS CLUBS ("WSC"), and my membership number is 998 721 912._x000D_
_x000D_
Since the OAG has urged WSC members to join the lawsuit against Town Sports International, LLC (TSI), d/b/a WASHINGTON SPORTS CLUBS ("WSC"),  I am filing this formal complaint because I believe that TSI unlawfully charged me membership dues/fees during the COVID-19 closure time period in DC.   TSI charged me  for 15 days (from March 17 to March 30) in March and April after its COVID-19 closure, as ordered by the DC Mayor.   _x000D_
_x000D_
_x000D_
Upon reopening, TSI failed to supply the promised credits to me for membership dues that I paid during the closure, and immediately charged me pro-rated membership fees for June.   I was again charged full membership fees for July and August. _x000D_
_x000D_
Here is the breakdown of the dues TSI unlawfully charged me during the closure:_x000D_
_x000D_
1. From March 17 to March 30 (15 days</t>
  </si>
  <si>
    <t>00021872</t>
  </si>
  <si>
    <t>500t000000ZA99S</t>
  </si>
  <si>
    <t>SAMILIA ANTHONY</t>
  </si>
  <si>
    <t>samilia@aol.com</t>
  </si>
  <si>
    <t>9/27/2020</t>
  </si>
  <si>
    <t>Consumer Complaint about Town Sports International, Inc</t>
  </si>
  <si>
    <t>I was charged a yearly membership fee and an April membership fee in March and April, even though I has just started a membership on February 29 and the club closed on March 16th.</t>
  </si>
  <si>
    <t>00022527</t>
  </si>
  <si>
    <t>500t000000ZspuB</t>
  </si>
  <si>
    <t>Maira Alves Constantino</t>
  </si>
  <si>
    <t>maira.ac@gmail.com</t>
  </si>
  <si>
    <t>9/14/2020</t>
  </si>
  <si>
    <t>Consumer Complaint about Washington Sports Clubs - Columbia Heights</t>
  </si>
  <si>
    <t>Washington Sports clubs (Columbia Heights) has charged me in full for month of March and April. I tried cancelling subscription on March by "contact us" on their website. I got an email back saying my request would be followed up when gyms were open. I was partially charged in June and charged in full  for the months of July and August. On August 2nd I called to get refunded and cancellation. they refused to refund me but said they would cancel my subscription. I have been charged again on September 7th. They are not taking my calls now. They say the manager is not in, I am not getting a call back.</t>
  </si>
  <si>
    <t>00022271</t>
  </si>
  <si>
    <t>500t000000ZOXbl</t>
  </si>
  <si>
    <t>Marguerite Nutter</t>
  </si>
  <si>
    <t>magsnutter@gmail.com</t>
  </si>
  <si>
    <t>9/13/2020</t>
  </si>
  <si>
    <t>I am trying to find out how to cancel my membership with Washington Sports Club - I searched their website and could not find information on how to do this.  I also looked at my account to see if my contract contained that info, but that link directed me to contact memberservices@tsiclubs.com to request a copy of my contract, which I did but received an auto reply.  The auto reply hasn't been updated in months and there is no indication that they will read my email and respond.  The last line of the email states:  "As a reminder – memberships continue to be on freeze and your account will not be billed." _x000D_
_x000D_
In that email, sent 9/11/20, I also requested that they cancel my account affective immediately._x000D_
_x000D_
They charged my account $15.90 in September - that's a "freeze fee."  I spoke with Devlin Barnes, who had been my personal trainer at the club who called a club manager about this and it seems that to cancel, I'll need to reinstate my membership and then cancel.  He is also unsure if</t>
  </si>
  <si>
    <t>00022256</t>
  </si>
  <si>
    <t>500t000000ZOMHq</t>
  </si>
  <si>
    <t>EDGAR WELLS</t>
  </si>
  <si>
    <t>kuril@starpower.net</t>
  </si>
  <si>
    <t>8/11/2020</t>
  </si>
  <si>
    <t>Consumer Complaint about Town Sports Internalional, LLC</t>
  </si>
  <si>
    <t>Debit by Washington  Sports Club -</t>
  </si>
  <si>
    <t>00021568</t>
  </si>
  <si>
    <t>500t000000YUucl</t>
  </si>
  <si>
    <t>Brent Stansell</t>
  </si>
  <si>
    <t>mrgumpindc@yahoo.com</t>
  </si>
  <si>
    <t>2023216144</t>
  </si>
  <si>
    <t>8/7/2020</t>
  </si>
  <si>
    <t>Consumer Complaint about Washington Sports Clubs/TSI Clubs</t>
  </si>
  <si>
    <t>Thank you so much for your work reaching an agreement with Washington Sports Club. Unfortunately, they have resumed charging and refuse to deal with past charges and complaints as  rectified by your directive._x000D_
_x000D_
I canceled my membership through the website as directed in your press release. I should not have to  honor a 30-day cancelation policy as outlined by your directive. I did not have anyone from the company ever contact me._x000D_
_x000D_
So now I have prorated charges from March, a charge  for April, and a charge from August that need refunded:_x000D_
$16.07 (prorated from March 23)_x000D_
$68.89 from April 1_x000D_
$68.89 from August 1_x000D_
_x000D_
Total: $153.85</t>
  </si>
  <si>
    <t>00021518</t>
  </si>
  <si>
    <t>500t000000YUACT</t>
  </si>
  <si>
    <t>Ronald Munoz</t>
  </si>
  <si>
    <t>tim_munoz@yahoo.com</t>
  </si>
  <si>
    <t>4/6/2020</t>
  </si>
  <si>
    <t>My gym is still charging me fees even when it's been closed for a month already because of Covid-19. It's Washington Sports Club in Connectcut Avenue.</t>
  </si>
  <si>
    <t>00019445</t>
  </si>
  <si>
    <t>500t000000TX8xz</t>
  </si>
  <si>
    <t>Marie Drissel</t>
  </si>
  <si>
    <t>marie.drissel@verizon.net</t>
  </si>
  <si>
    <t>The Washington Sports Club closed on March 16, 2020.  My husband is 87 and has underlying medical issues.  He was not able to attend the gym starting on March 14, 2020.  The Washington Sports Club started increasing my monthly charge without notice on 2/1/20.  Rather than $63.59 for two seniors membership and $63.59 for an additional membership for an adult family member they charged $148.38 and $123.38.  On 2/15 they charged $402.80 for personal trainer and that is accurate.  On 3/1/20 they charged $72.19 for the two seniors and $72.19 for the additional family member.  Again this should have been $63.59 for two seniors and $63.59 for one additional family member.  The gym closed on 3/16/2020.  On 3/15/20 they charged a full month of $402.80 for a personal trainer.  My husband had to stop going even before that because he is 87 and has underlying medical issues.  But he did not use the trainer and could not for over one month.  On 4/1/2020 we have been charged $74.19 for two senior me</t>
  </si>
  <si>
    <t>00019444</t>
  </si>
  <si>
    <t>500t000000TX91b</t>
  </si>
  <si>
    <t>Anne Drissel</t>
  </si>
  <si>
    <t>drisselab@gmail.com</t>
  </si>
  <si>
    <t>I'd like complain that the Washington Sports Clubs has an impossible cancellation policy -- it requires IN PERSON delivery of a cancellation request at the club where you are registered.  (It's almost impossible to find that info online!) I have been  unable to walk due to back injury through February and then as a senior in danger due to Coronavirus have been mostly housebound.  Then the Major closed all gyms and sports clubs BUT WSC just billed me April 1, 2020 -- I believe that is a May payment!</t>
  </si>
  <si>
    <t>00019454</t>
  </si>
  <si>
    <t>500t000000TXGQz</t>
  </si>
  <si>
    <t>Angelica Estevez</t>
  </si>
  <si>
    <t>aestevez@karlshochschule.de</t>
  </si>
  <si>
    <t>2023908602</t>
  </si>
  <si>
    <t>I was fraudulantly charged for a gym membership I have been trying to cancel to no avail over the past month with Washington Sports Club. I have not been reached out and have received no responses. The gym I frequent is not accepting calls, the General Manager is not responding to emails. I don't know how to cancel this recurring charge.</t>
  </si>
  <si>
    <t>00019455</t>
  </si>
  <si>
    <t>500t000000TXHrh</t>
  </si>
  <si>
    <t>Randall Warden</t>
  </si>
  <si>
    <t>randallwarden@gmail.com</t>
  </si>
  <si>
    <t>Washington Sports Club, Town Sports International</t>
  </si>
  <si>
    <t>Consumer Complaint about Washington Sports Club, Town Sports International</t>
  </si>
  <si>
    <t>Washington Sports Club (Town Sports International) continues to charge membership fees after closing gyms, as required by Mayor Bowser's March 24, 2020 public health order.  I sent an email requesting that my membership be frozen or cancelled on April 1, 2020.  On April 1, 2020, I was charged a monthly recurring fee of $67.69, which I have contested through my credit card's issuing bank.  As of April 6, 2020, I have received no response from WSC.</t>
  </si>
  <si>
    <t>00019462</t>
  </si>
  <si>
    <t>500t000000TXJNb</t>
  </si>
  <si>
    <t>Alicia Daugherty</t>
  </si>
  <si>
    <t>aliciadaugherty@hotmail.com</t>
  </si>
  <si>
    <t>I am a Washington Sports Club member who has been unable to cancel my membership because the clubs are closed.</t>
  </si>
  <si>
    <t>00019465</t>
  </si>
  <si>
    <t>500t000000TXIHd</t>
  </si>
  <si>
    <t>Katherine Dunham</t>
  </si>
  <si>
    <t>katherine.horner@gmail.com</t>
  </si>
  <si>
    <t>My husband and I are members at Washington Sports Club at Columbia Heights. We pay $116.58 per month (charged on the 3rd) for access to the club, and separately, have been paying another $480.02 per month for personal training sessions (charged on the 20th). In mid-March, we decided to stop going to the club because of the covid-19 risks. We worked with our personal training to put a hold on our training sessions, so we'd only be charged $15 per month until normalcy resumed–but we were told we would have to contact him/likely come in in person before the next charge (4/20) to maintain the freeze.  We didn't plan to make a change in our general membership, until the club shut down completely and I learned from social media that people were having a hard time cancelling their memberships. We had just expected the club would do the right thing and freeze everyone or at least notify us about an opt in/opt out option. Given their lack of communication and others' problems, we decided it bes</t>
  </si>
  <si>
    <t>00019467</t>
  </si>
  <si>
    <t>500t000000TXM0j</t>
  </si>
  <si>
    <t>Nathaniel Wiener</t>
  </si>
  <si>
    <t>nathanielwiener@gmail.com</t>
  </si>
  <si>
    <t>6465796208</t>
  </si>
  <si>
    <t>4/7/2020</t>
  </si>
  <si>
    <t>Washington Sports Clubs/TSI</t>
  </si>
  <si>
    <t>Consumer Complaint about Washington Sports Clubs/TSI</t>
  </si>
  <si>
    <t>TSI/Washington Sports Clubs automatically charged my account for a gym membership on Apr. 1 despite being closed due to COVID-19. The gym never sent an email or reached out to members. I sent an email last week demanding my account be credited and shut but have not received a reply. My membership id is 1000171263</t>
  </si>
  <si>
    <t>00019469</t>
  </si>
  <si>
    <t>500t000000TXNLe</t>
  </si>
  <si>
    <t>Maeve Russell</t>
  </si>
  <si>
    <t>maeve.russell1@gmail.com</t>
  </si>
  <si>
    <t>6073425642</t>
  </si>
  <si>
    <t>Washington Sports Club is still charging its members our monthly fee, despite the fact that this is a breach of contract (since our membership fee requires us to have access to a gym). They also have not responded to any of my requests to cancel my membership, as cancellation typically requires us to go in-person (which no one can do, due to both social distancing and the fact that the gym is closed). No one is answering any of my emails or calls, and they are apparently not paying their employees during this time either.</t>
  </si>
  <si>
    <t>00019471</t>
  </si>
  <si>
    <t>500t000000TXQ2p</t>
  </si>
  <si>
    <t>Peter Watt</t>
  </si>
  <si>
    <t>pwatt45@gmail.com</t>
  </si>
  <si>
    <t>Washington Sports Club keeps billing me for a monthly gym service when they are not open to provide me the service I am paying for.  I have tried to contact them to cancel my membership, but their terms of service says that it only allows for in person cancellation. However, all locations are closed. I have sent an email to their corporate offices, and have yet to receive a response. I know your office is in an ongoing dispute with WSC and have received multiple complaints, but I would like you to add this to your list._x000D_
I have contacted my Credit Card company and disputed the April 1st charge, however they said there is nothing they can do to prevent future charges. _x000D_
Please let me know if there is anything else I can provide.</t>
  </si>
  <si>
    <t>00019477</t>
  </si>
  <si>
    <t>500t000000TXRr4</t>
  </si>
  <si>
    <t>Gregory Gomperts</t>
  </si>
  <si>
    <t>greggomperts@gmail.com</t>
  </si>
  <si>
    <t>617-901-4434</t>
  </si>
  <si>
    <t>I've been a member of Washington Sports Club in DC for over a year. Due to pandemic and their building being closed I tried to cancel my membership. They tried to assess a crazy fee, but offered to freeze my membership. I accepted to freeze april and may, while also immediately putting in 45 day notice  of cancellation. Then they charged me for April and have not answered my emails.</t>
  </si>
  <si>
    <t>00019481</t>
  </si>
  <si>
    <t>500t000000TXSkV</t>
  </si>
  <si>
    <t>Richard Auxier</t>
  </si>
  <si>
    <t>rcauxier@gmail.com</t>
  </si>
  <si>
    <t>Washington City Sports Club (Town Sports International Holdings, Inc.)</t>
  </si>
  <si>
    <t>Consumer Complaint about Washington City Sports Club (Town Sports International Holdings, Inc.)</t>
  </si>
  <si>
    <t>My name is Richard Auxier and I live at 916 French Street, NW. My gym, Washington City Sports Club (Town Sports International Holdings, Inc.) is not suspending membership fees or allowing members to cancel their memberships during the DC government's stay at home order.  The gym requires all members to cancel memberships in person, which, for obvious and correct reasons, is not permitted at this time. Thus, I was charged $86.86 on April 1, 2020, for a service I cannot access or cancel. The attorney general has already submitted a complaint (https://oag.dc.gov/sites/default/files/2020-04/Town-Sports-International-Multistate-Letter.pdf) about this. I want to thank him, this office, and add my name to those submitting complaints about this matter.</t>
  </si>
  <si>
    <t>00019479</t>
  </si>
  <si>
    <t>500t000000TXSQx</t>
  </si>
  <si>
    <t>Andrea Diaz</t>
  </si>
  <si>
    <t>andreadiaz239@gmail.com</t>
  </si>
  <si>
    <t>8182795005</t>
  </si>
  <si>
    <t>Right before the gyms closed, on March 16, 2020, I decided to cancel my membership at Washington Sports Club. They charged me a $10 cancelation fee and I have an email from them confirming  my cancelation. However, on April 1st, they ran my card again for the monthly fee.</t>
  </si>
  <si>
    <t>00019482</t>
  </si>
  <si>
    <t>500t000000TXTPj</t>
  </si>
  <si>
    <t>Jackie Solano</t>
  </si>
  <si>
    <t>jackaronie3@gmail.com</t>
  </si>
  <si>
    <t>Washington Sport Center</t>
  </si>
  <si>
    <t>Consumer Complaint about Washington Sport Center</t>
  </si>
  <si>
    <t>As you know these are difficult times for everyone. We tried to reach out to Washington Sport Center to request a payment deferral  due to my husband been laid off. They have no contact information on their website. It's set up for reoccurring  payment.</t>
  </si>
  <si>
    <t>00019483</t>
  </si>
  <si>
    <t>500t000000TXS2O</t>
  </si>
  <si>
    <t>Katrina Schwab</t>
  </si>
  <si>
    <t>tiaschwab11@gmail.com</t>
  </si>
  <si>
    <t>Washington Sports Club closed all DC gyms on March 16 due to COVID-19. They initially did not notify members and said they would respond to all concerns, including credits and refunds, after the gym reopened. I contacted them on Facebook on March 20, and via email March 20 to ask if they would pause membership charges during this time. I received no response, so on March 27, I sent them a notice that I was revoking authorization for charges to my debit card during the gym closure. On April 1, I received a mass email from them that said if members wanted to freeze their memberships during the closure, they could, so I sent another email on April 1 re-iterating that I would like to freeze my membership and not allow charges to my debit card during this time. I did not receive any responses to any of these direct emails, and on April 2 my debit card was charged the full amount for my April membership ($64). I am disputing this charge with my bank (Wells Fargo).</t>
  </si>
  <si>
    <t>00019484</t>
  </si>
  <si>
    <t>500t000000TXVBV</t>
  </si>
  <si>
    <t>Dan Fipphen</t>
  </si>
  <si>
    <t>dfipphen@gmail.com</t>
  </si>
  <si>
    <t>During the COVID-19 pandemic, I have been unable to successfully freeze or cancel my recurring membership to Washington Sports Club ("WSC"), notwithstanding my considerable efforts to do so.   WSC only allows members to cancel in-person or via mail, but all of its locations are currently closed.   WSC sent out numerous email updates related to COVID-19 but initially did not offer the option to freeze/cancel memberships online;  in a subsequent email, such an online option was offered, but despite following the instructions, my credit card was still charged both a monthly ($84) and annual fee ($75).   I know that numerous other consumers are in the same situation.  See this article from DCist on the situation: https://dcist.com/story/20/04/07/the-d-c-council-just-passed-a-coronavirus-relief-bill-heres-whats-in-it/</t>
  </si>
  <si>
    <t>00019485</t>
  </si>
  <si>
    <t>500t000000TXVom</t>
  </si>
  <si>
    <t>Matthew Anderson</t>
  </si>
  <si>
    <t>manderson227@gmail.com</t>
  </si>
  <si>
    <t>Washingtons Sports Club</t>
  </si>
  <si>
    <t>Consumer Complaint about Washingtons Sports Club</t>
  </si>
  <si>
    <t>WSC has continue to charge for monthly services that have not  been provided since the COVID mandated shut down. As 04/02/2020 I was charged $84.79 which is the monthly when the gym has been shut down since 3/15 or 3/17. They also prevented any online management by displaying a blank page  when logging into their site. I was willing to freeze my account that time so I contacted via email on 3/23 and received a canned email response.</t>
  </si>
  <si>
    <t>00019486</t>
  </si>
  <si>
    <t>500t000000TXWM5</t>
  </si>
  <si>
    <t>Kimberly Willett</t>
  </si>
  <si>
    <t>kmw267@georgetown.edu</t>
  </si>
  <si>
    <t>Good afternoon,_x000D_
My name is Kimberly Willett and I am a member of Washington Sports Club (WSC) who is finishing graduate school and just temporarily laid off from employment due to Covid19. I have tried to call WSC to halt my $60 per month membership however they have shut all forms of communication. Per the website the only ways to cancel a membership is in person or certified mail however, neither option is available. _x000D_
Is there anything y my can do to help? _x000D_
Please feel free to call at anytime my cell number is (860)256-5813 or by email at kmw267@georgetown.edu_x000D_
I thank you so much,_x000D_
Kimberly Willett_x000D_
(860)256-5813 _x000D_
Kmw267@georgetown.edu</t>
  </si>
  <si>
    <t>00019487</t>
  </si>
  <si>
    <t>500t000000TXWqo</t>
  </si>
  <si>
    <t>Bryan B</t>
  </si>
  <si>
    <t>bryanblom@gmail.com</t>
  </si>
  <si>
    <t>I have tried repeatedly to cancel my Washington Sports Club (WSC) membership.</t>
  </si>
  <si>
    <t>00019489</t>
  </si>
  <si>
    <t>500t000000TXYdb</t>
  </si>
  <si>
    <t>Carmen Heredia Rodriguez</t>
  </si>
  <si>
    <t>caherediarodriguez@gmail.com</t>
  </si>
  <si>
    <t>Washington Sports Club charged me $58.29 on April 1, even though the gym closed in mid-March due to the COVID-19 outbreak. The gym remains closed. There is no way that I can freeze or cancel my membership, as there is no one available on the phone.</t>
  </si>
  <si>
    <t>00019494</t>
  </si>
  <si>
    <t>500t000000TXcGt</t>
  </si>
  <si>
    <t>Adrienne Gayoso</t>
  </si>
  <si>
    <t>adrienne_gayoso@yahoo.com</t>
  </si>
  <si>
    <t>4/8/2020</t>
  </si>
  <si>
    <t>I am a member of Washington Sports Club (WSC), and I continue to be charged my monthly  membership fee ($52.95) though I haven't had access to the gym since 3/17/2020, when it was shuttered by law due to COVID. Customers never received communication about how the company would handle memberships during the pandemic. I reached out to WSC on 3/22/2020 requesting information about how to freeze or cancel my membership in light of the pandemic. Received a generic auto-response with no helpful information regarding how the gym will handle its memberships during a time when customers can't access the services they paid for or about how members can cancel. Additionally, neither my membership agreement nor WSC's website has instructions for how to cancel memberships or a list of associated fees for doing so. Today I noticed their website contact sheet has been updated with "freeze membership" and "cancel membership" options that didn't exist the last time I checked. I completed the form reques</t>
  </si>
  <si>
    <t>00019522</t>
  </si>
  <si>
    <t>500t000000U9eSk</t>
  </si>
  <si>
    <t>Alexis Damato</t>
  </si>
  <si>
    <t>kadamato@gwmail.gwu.edu</t>
  </si>
  <si>
    <t>8649089748</t>
  </si>
  <si>
    <t>4/9/2020</t>
  </si>
  <si>
    <t>Washington Sports Club Georgetown</t>
  </si>
  <si>
    <t>Consumer Complaint about Washington Sports Club Georgetown</t>
  </si>
  <si>
    <t>Washington Sports Club, a branch of Town Sports International, is currently charging monthly gym membership dues despite the fact the gym has been closed for over a month now. The Georgetown branch, WSC Georgetown, has its representatives (ie. trainers) telling us that all of our accounts have been frozen, however, I was charged my April membership dues on the first of the month. This is illegal because the business is closed due to covid-19.</t>
  </si>
  <si>
    <t>00019525</t>
  </si>
  <si>
    <t>500t000000U9i7l</t>
  </si>
  <si>
    <t>Mila Temnyalova</t>
  </si>
  <si>
    <t>mila.mtemnyalova@gmail.com</t>
  </si>
  <si>
    <t>Washington Sports Clubs - Georgetown, Washington D.C.</t>
  </si>
  <si>
    <t>Consumer Complaint about Washington Sports Clubs - Georgetown, Washington D.C.</t>
  </si>
  <si>
    <t>I have a gym membership at Washington Sports Club in Georgetown, Washington D.C. set up with recurring automatic payments on the 1st of every month for the upcoming month's fees. Washington Sports Club gym shut down this location in the middle of March amidst the coronavirus crisis as D.C. went into stricter social distancing measures and consequently lockdown. However, this gym communicated NOTHING. I got zero emails - not when they shut down, not what would happen to payments. I sent three different emails (to gym officials and also through the contact us link on their website) to ask how I can stop charges and whether I can get a refund for half of March, and receives no response. I only received an automatic response from the Contact Us form on their website which said that once the pandemic ends they will get back in touch. Meanwhile, on April 1st they charged my credit card the full membership fee for April as well, even though the Mayor has ordered the city on lockdown and the g</t>
  </si>
  <si>
    <t>00019532</t>
  </si>
  <si>
    <t>500t000000U9lY1</t>
  </si>
  <si>
    <t>Ian Cocroft</t>
  </si>
  <si>
    <t>iancocroft@gmail.com</t>
  </si>
  <si>
    <t>4/13/2020</t>
  </si>
  <si>
    <t>On March 31st, I came to realize that Washington Sports Club was still billing for memberships, despite their mandatory closure under DC law during the Coronavirus pandemic. I reached out to the club to cancel my membership but received no response. Nonetheless, I was billed in full for the month of April. _x000D_
_x000D_
Today, I was contacted by a WSC representative, who agreed to terminate my membership but refused to offer a refund for the period of time the gym has been closed. The membership fees total $194.77 for the months of March and April.</t>
  </si>
  <si>
    <t>00019581</t>
  </si>
  <si>
    <t>500t000000UARxE</t>
  </si>
  <si>
    <t>Charlotte Schwartz</t>
  </si>
  <si>
    <t>charlottehannahschwartz@gmail.com</t>
  </si>
  <si>
    <t>4/14/2020</t>
  </si>
  <si>
    <t>I had a one-year membership with the Washington Sports Club. When the  mayor ordered all non-essential businesses closed, I requested that they cancel my membership but they never did and I never heard back from anyone I contacted, even the contacts that they told us to reach out to in the membership-wide emails that we received.</t>
  </si>
  <si>
    <t>00019594</t>
  </si>
  <si>
    <t>500t000000UAkvX</t>
  </si>
  <si>
    <t>Lauren Weldon</t>
  </si>
  <si>
    <t>laurenweldon@gmail.com</t>
  </si>
  <si>
    <t>4/16/2020</t>
  </si>
  <si>
    <t>Gym charging while closed for COVID 19</t>
  </si>
  <si>
    <t>00019611</t>
  </si>
  <si>
    <t>500t000000UBLUu</t>
  </si>
  <si>
    <t>Evan Dixon</t>
  </si>
  <si>
    <t>evangnyo@gmail.com</t>
  </si>
  <si>
    <t>502-208-0939</t>
  </si>
  <si>
    <t>00019612</t>
  </si>
  <si>
    <t>500t000000UBLZz</t>
  </si>
  <si>
    <t>Sandhya Rao</t>
  </si>
  <si>
    <t>sandhya.slowfood@gmail.com</t>
  </si>
  <si>
    <t>202-462-0173</t>
  </si>
  <si>
    <t>00019613</t>
  </si>
  <si>
    <t>500t000000UBLeQ</t>
  </si>
  <si>
    <t>Tom Schehl</t>
  </si>
  <si>
    <t>tomschehldc@gmail.com</t>
  </si>
  <si>
    <t>00019614</t>
  </si>
  <si>
    <t>500t000000UBLi3</t>
  </si>
  <si>
    <t>Emily Stock</t>
  </si>
  <si>
    <t>emily.stock80@gmail.com</t>
  </si>
  <si>
    <t>00019615</t>
  </si>
  <si>
    <t>500t000000UBLnS</t>
  </si>
  <si>
    <t>Lianna Bright</t>
  </si>
  <si>
    <t>liannabright@icloud.com</t>
  </si>
  <si>
    <t>00019616</t>
  </si>
  <si>
    <t>500t000000UBLfj</t>
  </si>
  <si>
    <t>Abdul Malik</t>
  </si>
  <si>
    <t>abdulmlk3@gmail.com</t>
  </si>
  <si>
    <t>00019618</t>
  </si>
  <si>
    <t>500t000000UBLx8</t>
  </si>
  <si>
    <t>Jeremy Wood</t>
  </si>
  <si>
    <t>jeremywood13@gmail.com</t>
  </si>
  <si>
    <t>00019619</t>
  </si>
  <si>
    <t>500t000000UBLzE</t>
  </si>
  <si>
    <t>William Lee</t>
  </si>
  <si>
    <t>willee104@gmail.com</t>
  </si>
  <si>
    <t>00019623</t>
  </si>
  <si>
    <t>500t000000UBMAM</t>
  </si>
  <si>
    <t>Justin Mcauliff</t>
  </si>
  <si>
    <t>jdmbad@virginia.edu</t>
  </si>
  <si>
    <t>00019620</t>
  </si>
  <si>
    <t>500t000000UBM0U</t>
  </si>
  <si>
    <t>Rick Clark</t>
  </si>
  <si>
    <t>rickclark70@gmail.com</t>
  </si>
  <si>
    <t>718-909-6199</t>
  </si>
  <si>
    <t>00019621</t>
  </si>
  <si>
    <t>500t000000UBM5K</t>
  </si>
  <si>
    <t>Susan Rodgers</t>
  </si>
  <si>
    <t>gjpgroup@yahoo.com</t>
  </si>
  <si>
    <t>00019622</t>
  </si>
  <si>
    <t>500t000000UBM7p</t>
  </si>
  <si>
    <t>Eli Wood</t>
  </si>
  <si>
    <t>eli.wood@dc.gov</t>
  </si>
  <si>
    <t>202-442-9783</t>
  </si>
  <si>
    <t>00019624</t>
  </si>
  <si>
    <t>500t000000UBMCO</t>
  </si>
  <si>
    <t>Maggie Donahue</t>
  </si>
  <si>
    <t>maggie.donahue@gmail.com</t>
  </si>
  <si>
    <t>00019625</t>
  </si>
  <si>
    <t>500t000000UBMFg</t>
  </si>
  <si>
    <t>Steve Minter</t>
  </si>
  <si>
    <t>juststeve@gmail.com</t>
  </si>
  <si>
    <t>Gym charging while closed due to COVID 19</t>
  </si>
  <si>
    <t>00019627</t>
  </si>
  <si>
    <t>500t000000UBNDG</t>
  </si>
  <si>
    <t>Elizabeth Webber</t>
  </si>
  <si>
    <t>ewebber@verizon.net</t>
  </si>
  <si>
    <t>00019628</t>
  </si>
  <si>
    <t>500t000000UBNHM</t>
  </si>
  <si>
    <t>Heriberto Adamson</t>
  </si>
  <si>
    <t>hmadamson94@gmail.com</t>
  </si>
  <si>
    <t>202-489-3798</t>
  </si>
  <si>
    <t>00019629</t>
  </si>
  <si>
    <t>500t000000UBNEi</t>
  </si>
  <si>
    <t>Tessa Martin</t>
  </si>
  <si>
    <t>tessa.claire.martin@gmail.com</t>
  </si>
  <si>
    <t>202-390-4212</t>
  </si>
  <si>
    <t>00019630</t>
  </si>
  <si>
    <t>500t000000UBNMb</t>
  </si>
  <si>
    <t>Emily Davis</t>
  </si>
  <si>
    <t>emilydavis11@gmail.com</t>
  </si>
  <si>
    <t>570-862-6995</t>
  </si>
  <si>
    <t>00019631</t>
  </si>
  <si>
    <t>500t000000UBNNp</t>
  </si>
  <si>
    <t>Peter Goodman</t>
  </si>
  <si>
    <t>curufinweg@aol.com</t>
  </si>
  <si>
    <t>00019632</t>
  </si>
  <si>
    <t>500t000000UBNQE</t>
  </si>
  <si>
    <t>William Coombes</t>
  </si>
  <si>
    <t>wcoombes@gmail.com</t>
  </si>
  <si>
    <t>00019633</t>
  </si>
  <si>
    <t>500t000000UBNSj</t>
  </si>
  <si>
    <t>Arianna Spawn</t>
  </si>
  <si>
    <t>ari.spawn@gmail.com</t>
  </si>
  <si>
    <t>978-987-6263</t>
  </si>
  <si>
    <t>00019634</t>
  </si>
  <si>
    <t>500t000000UBNUk</t>
  </si>
  <si>
    <t>Logan McCoy</t>
  </si>
  <si>
    <t>logan.s.mccoy@gmail.com</t>
  </si>
  <si>
    <t>00019635</t>
  </si>
  <si>
    <t>500t000000UBNWD</t>
  </si>
  <si>
    <t>Emma West</t>
  </si>
  <si>
    <t>emmawest80@gmail.com</t>
  </si>
  <si>
    <t>413-336-0102</t>
  </si>
  <si>
    <t>00019636</t>
  </si>
  <si>
    <t>500t000000UBNYm</t>
  </si>
  <si>
    <t>Annie Zanobini</t>
  </si>
  <si>
    <t>annie.zanobini@gmail.com</t>
  </si>
  <si>
    <t>00019637</t>
  </si>
  <si>
    <t>500t000000UBNaO</t>
  </si>
  <si>
    <t>Manuel Ochoa</t>
  </si>
  <si>
    <t>manuelochoa8197@gmail.com</t>
  </si>
  <si>
    <t>00019638</t>
  </si>
  <si>
    <t>500t000000UBNtv</t>
  </si>
  <si>
    <t>Scott Edwards</t>
  </si>
  <si>
    <t>etchaskitch@gmail.com</t>
  </si>
  <si>
    <t>202-341-7937</t>
  </si>
  <si>
    <t>00019639</t>
  </si>
  <si>
    <t>500t000000UBO65</t>
  </si>
  <si>
    <t>Mike Nieto</t>
  </si>
  <si>
    <t>mikednieto@gmail.com</t>
  </si>
  <si>
    <t>202-738-2988</t>
  </si>
  <si>
    <t>00019640</t>
  </si>
  <si>
    <t>500t000000UBO81</t>
  </si>
  <si>
    <t>Erika Debrosse</t>
  </si>
  <si>
    <t>erika.debrosse@yahoo.com</t>
  </si>
  <si>
    <t>00019641</t>
  </si>
  <si>
    <t>500t000000UBNo2</t>
  </si>
  <si>
    <t>Chrisanthy Loizos</t>
  </si>
  <si>
    <t>cjloizos@outlook.com</t>
  </si>
  <si>
    <t>703-472-1366</t>
  </si>
  <si>
    <t>00019642</t>
  </si>
  <si>
    <t>500t000000UBOC3</t>
  </si>
  <si>
    <t>Nathan Brody</t>
  </si>
  <si>
    <t>nbrody11@gmail.com</t>
  </si>
  <si>
    <t>00019644</t>
  </si>
  <si>
    <t>500t000000UBOI1</t>
  </si>
  <si>
    <t>Gary Grieg</t>
  </si>
  <si>
    <t>dblg@me.com</t>
  </si>
  <si>
    <t>202-841-0540</t>
  </si>
  <si>
    <t>00019643</t>
  </si>
  <si>
    <t>500t000000UBOEy</t>
  </si>
  <si>
    <t>Steve Wise</t>
  </si>
  <si>
    <t>wrassler253@aim.com</t>
  </si>
  <si>
    <t>00019645</t>
  </si>
  <si>
    <t>500t000000UBOJJ</t>
  </si>
  <si>
    <t>Evette Banfield</t>
  </si>
  <si>
    <t>elbanfield@yahoo.com</t>
  </si>
  <si>
    <t>00019646</t>
  </si>
  <si>
    <t>500t000000UBOKW</t>
  </si>
  <si>
    <t>Michael Williams</t>
  </si>
  <si>
    <t>mike.williams642@gmail.com</t>
  </si>
  <si>
    <t>4/17/2020</t>
  </si>
  <si>
    <t>Town Sports International Holdings</t>
  </si>
  <si>
    <t>Consumer Complaint about Town Sports International Holdings</t>
  </si>
  <si>
    <t>I am a month to month member at Washington Sports Club. Due to coronavirus, the gyms were closed throughout the district for the last month. Although I have no contractual obligation and I emailed Wasington Sports Club multiple times to freeze or cancel my membership, I was not allowed to do so and was ultimately charged on April  2nd, 2020 for the full amount of my monthly membership. I followed up with another email, telling them once again to cancel my account. All emails were met with either no response or a form letter devoid of any substance. I have now contacted my bank to dispute the charge. Furthermore, I intend to stop any future charges on my account from WSC and TSI.</t>
  </si>
  <si>
    <t>00019650</t>
  </si>
  <si>
    <t>500t000000UBWz3</t>
  </si>
  <si>
    <t>Megan Thomas</t>
  </si>
  <si>
    <t>meganthomas@gmail.com</t>
  </si>
  <si>
    <t>Town Sports International/Washington Sports Clubs</t>
  </si>
  <si>
    <t>Consumer Complaint about Town Sports International/Washington Sports Clubs</t>
  </si>
  <si>
    <t>Town Sports International/Washington Sports Clubs charged me gym membership dues for the month of April for services not rendered as gyms are closed in the District of Colombia due to the COVID-19 pandemic, and despite an email I sent to the company requesting that my membership be frozen due to the situation. Gyms have been closed in the District since March 16, 2020 at 10:00pm. I believe Town Sports International/Washington Sports Clubs have sent members intentionally confusing, misleading, and ill-timed communications to help ensure that accounts would not be frozen until they had already charged members for April 2020. As an example, they sent a communication to members on April 1, 2020 (but dated March 31, 2020) stating that members who wanted to freeze memberships should send an email to a dedicated email address to have accounts frozen by a customer service representative [I did this on the date of receipt, and requested confirmation that my account had been frozen, which I neve</t>
  </si>
  <si>
    <t>00019652</t>
  </si>
  <si>
    <t>500t000000UBYEB</t>
  </si>
  <si>
    <t>Carolyn Clendenin</t>
  </si>
  <si>
    <t>carolyn.m.clendenin@gmail.com</t>
  </si>
  <si>
    <t>4/20/2020</t>
  </si>
  <si>
    <t>00019668</t>
  </si>
  <si>
    <t>500t000000UBwrV</t>
  </si>
  <si>
    <t>Antonio Olivo</t>
  </si>
  <si>
    <t>antonioolivojr@gmail.com</t>
  </si>
  <si>
    <t>202-290-6028</t>
  </si>
  <si>
    <t>00019671</t>
  </si>
  <si>
    <t>500t000000UBx8N</t>
  </si>
  <si>
    <t>Remington Gregg</t>
  </si>
  <si>
    <t>remington.a.gregg@gmail.com</t>
  </si>
  <si>
    <t>00019672</t>
  </si>
  <si>
    <t>500t000000UBww3</t>
  </si>
  <si>
    <t>Patricia Wheeler</t>
  </si>
  <si>
    <t>phawheeler@comcast.net</t>
  </si>
  <si>
    <t>202-635-8906</t>
  </si>
  <si>
    <t>00019673</t>
  </si>
  <si>
    <t>500t000000UBxJi</t>
  </si>
  <si>
    <t>Leslie Brenowitz</t>
  </si>
  <si>
    <t>lbrenowitz@gmail.com</t>
  </si>
  <si>
    <t>00019674</t>
  </si>
  <si>
    <t>500t000000UBxPf</t>
  </si>
  <si>
    <t>Josh Deyer</t>
  </si>
  <si>
    <t>jdeyer@icloud.com</t>
  </si>
  <si>
    <t>00019675</t>
  </si>
  <si>
    <t>500t000000UBxUL</t>
  </si>
  <si>
    <t>Michael Dworken</t>
  </si>
  <si>
    <t>mdworken@gmail.com</t>
  </si>
  <si>
    <t>Washington Sports Club / Town Sports International</t>
  </si>
  <si>
    <t>Consumer Complaint about Washington Sports Club / Town Sports International</t>
  </si>
  <si>
    <t>Washington sports club failed to provide me with  the training session that I was supposed to receive on sign up. They had trainers no-show once (possibly twice, but I don't remember at this point), and then stopped responding to my emails when I tried to reschedule. They also refused to let me schedule my session from the front desk on multiple occasions. I finally then sent them a request via email to cancel my account and refund my dues on October 18, 2019,  which they seem to have ignored. I tried to follow-up in November with no luck._x000D_
_x000D_
When I checked my Credit Card bill in January, I was appalled to find they had NOT cancelled my services. After much bickering, I convinced them to take a cancellation paper in person. They then proceeded to charge me extra after the 45 days had passed from it, in an amount exceeding 20 dollars. To the best of my belief and knowledge, this was fraudulent behavior and a direct violation of their settlement with DC OAG in 2019.</t>
  </si>
  <si>
    <t>00019678</t>
  </si>
  <si>
    <t>500t000000UC0G6</t>
  </si>
  <si>
    <t>Paul Cober</t>
  </si>
  <si>
    <t>paul.cobler@gmail.com</t>
  </si>
  <si>
    <t>4/21/2020</t>
  </si>
  <si>
    <t>Unable to cancel gym membership &amp; co. is charging during COVID 19</t>
  </si>
  <si>
    <t>00019686</t>
  </si>
  <si>
    <t>500t000000UCDQz</t>
  </si>
  <si>
    <t>KATHLEEN HALLEY</t>
  </si>
  <si>
    <t>khalley@rcn.com</t>
  </si>
  <si>
    <t>I have two complaints but will submit them separately:  #1 -- Washington Sports Club (WSC) charged me for April dues at their Glover Park gym although the gym was closed on the day it was mandated by Mayor Bowser -- I think it was March 16th or17th.  I called my CC company so they are contesting the charge and I am going to make sure they block any and all future charges. I appreciate the work done by the OAG to have them agree to stop future payments while closed.  By happenstance, I had called the GP  WPS gym that  morning and cancelled  my membership.  ( I had found my contract with them which they claimed not to have years ago that show my fee was not supposed to go up -- more on that it many second complaint). I have proof of cancellation in that  I was charged  a cancellation fee to my CC card to do so..  The manager said that the fee would be reimbursed and that he was waiving the policy of not being able to cancel the day you want to cancel on the phone or at the gym site.   He</t>
  </si>
  <si>
    <t>00019684</t>
  </si>
  <si>
    <t>500t000000UCDTw</t>
  </si>
  <si>
    <t>Katherine Garbart</t>
  </si>
  <si>
    <t>kgarbart@gmail.com</t>
  </si>
  <si>
    <t>4/22/2020</t>
  </si>
  <si>
    <t>On April 4, 2020, Washington Sports Club charged me a $74 fee two times. This was several weeks after the gyms in D.C. had closed due to coronavirus concerns. _x000D_
I have contacted the parent company, TSI, and WSC a total of five times asking for information about why I was charged twice and when I can expect to receive a refund. I have received no reply.</t>
  </si>
  <si>
    <t>00019701</t>
  </si>
  <si>
    <t>500t000000UCcTc</t>
  </si>
  <si>
    <t>Oscar Perez</t>
  </si>
  <si>
    <t>whereisoscar@gmail.com</t>
  </si>
  <si>
    <t>202-431-3244</t>
  </si>
  <si>
    <t>4/24/2020</t>
  </si>
  <si>
    <t>Gym charging membership while closed</t>
  </si>
  <si>
    <t>00019713</t>
  </si>
  <si>
    <t>500t000000U4vfE</t>
  </si>
  <si>
    <t>Danielle Korzhenyak</t>
  </si>
  <si>
    <t>danikorzh19@gmail.com</t>
  </si>
  <si>
    <t>4/25/2020</t>
  </si>
  <si>
    <t>Washington Sports Center Glover Park</t>
  </si>
  <si>
    <t>Consumer Complaint about Washington Sports Center Glover Park</t>
  </si>
  <si>
    <t>Washington Sports Center Glover Park  has charged me for the past two months  for a total of  $57.38, although their gyms have been closed since March 16.  I've attempted  to contact their offices , however no one has responded.</t>
  </si>
  <si>
    <t>00019728</t>
  </si>
  <si>
    <t>500t000000U57zl</t>
  </si>
  <si>
    <t>Willian Amaya</t>
  </si>
  <si>
    <t>enriqueamaya52@gmail.com</t>
  </si>
  <si>
    <t>Washington Sports Center has been charging me for the past two months. The closed on March 16th but have billed me both for March and April, a total of $57.38. I have attempted to contact them, but have not gotten a reply yet.</t>
  </si>
  <si>
    <t>00019729</t>
  </si>
  <si>
    <t>500t000000U589k</t>
  </si>
  <si>
    <t>Robyn Lipton</t>
  </si>
  <si>
    <t>liptonrj@gmail.com</t>
  </si>
  <si>
    <t>4/27/2020</t>
  </si>
  <si>
    <t>Washington Sports Club charged me dues and personal training fees in April, even though the club has been closed since mid-March. They have refused to refund the charge</t>
  </si>
  <si>
    <t>00019743</t>
  </si>
  <si>
    <t>500t000000UxpeQ</t>
  </si>
  <si>
    <t>John Sayegh</t>
  </si>
  <si>
    <t>cullensayegh@gmail.com</t>
  </si>
  <si>
    <t>8657196189</t>
  </si>
  <si>
    <t>I am trying to cancel my Washington Sports Club membership.</t>
  </si>
  <si>
    <t>00019752</t>
  </si>
  <si>
    <t>500t000000Uxwsq</t>
  </si>
  <si>
    <t>Gail Fuller</t>
  </si>
  <si>
    <t>gail.fuller@gmail.com</t>
  </si>
  <si>
    <t>Washington Sports Club / TSI (WSC club location listed below)</t>
  </si>
  <si>
    <t>Consumer Complaint about Washington Sports Club / TSI (WSC club location listed below)</t>
  </si>
  <si>
    <t>After COVID-19 caused the shutdown of gyms in Washington, DC, Washington Sports Club continued to charge me for both membership dues and the cost of my personal training membership site my repeated requests to cancel my membership.  I submitted requests via the WSC website to cancel my membership on 3/27, 4/1, 4/9, and 4/27 and to date have received nothing beyond automated responses from WSC.  I was charged $720.80 on 3/29 for my personal training membership and an additional $95.38 in membership dues on 4/1, both of which were obviously after my first cancellation request.  I filed complaints related to both charges with my credit card company on 4/3 and have received a conditional credit for the smaller charge, while my complaint about the larger charge remains pending.</t>
  </si>
  <si>
    <t>00019755</t>
  </si>
  <si>
    <t>500t000000UxzJx</t>
  </si>
  <si>
    <t>SUZANNE MORRELL</t>
  </si>
  <si>
    <t>stmorrell@gmail.com</t>
  </si>
  <si>
    <t>4/30/2020</t>
  </si>
  <si>
    <t>Towne Sports-Washington Sports Club-I cancelled my  membership on March 16th.  I was charged for the remainder of the month as well as a partial month in April. Per the agreement with the Attorney General, I am not to by charged any fees. I have requested reimbursement but the company has not refunded the fees.</t>
  </si>
  <si>
    <t>00019793</t>
  </si>
  <si>
    <t>500t000000UyUPX</t>
  </si>
  <si>
    <t>Darrin Smith</t>
  </si>
  <si>
    <t>zenevokr@gmail.com</t>
  </si>
  <si>
    <t>2028919669</t>
  </si>
  <si>
    <t>5/8/2020</t>
  </si>
  <si>
    <t>Personal</t>
  </si>
  <si>
    <t>Consumer Complaint about Personal</t>
  </si>
  <si>
    <t>I am a client of Washington Sports Club.  The said company misrepresented my interests by charging me when, knowing, that I was not able to access the facility during this current pandemic.  This action is circuitous and reprehensible given the circumstances in which, I and many others, find ourselves during this life changing era._x000D_
Please, help me to be compensated for being charged and I want to have my membership terminated per immediately.  I also want the money that is held in my account for the last month of membership to be credited back to me as well._x000D_
_x000D_
Thanks for you help,_x000D_
_x000D_
Sincerely,_x000D_
_x000D_
Darrin Smith</t>
  </si>
  <si>
    <t>00019939</t>
  </si>
  <si>
    <t>500t000000Uzwpa</t>
  </si>
  <si>
    <t>Joseph Theissen</t>
  </si>
  <si>
    <t>joe.theissen@me.com</t>
  </si>
  <si>
    <t>Wants to know if gym will be offering credits for dues paid during closure.</t>
  </si>
  <si>
    <t>00019945</t>
  </si>
  <si>
    <t>500t000000V02Kh</t>
  </si>
  <si>
    <t>Erich Stanley</t>
  </si>
  <si>
    <t>erich.stanley@gmail.com</t>
  </si>
  <si>
    <t>Wants refund from gym for closures in March</t>
  </si>
  <si>
    <t>00019946</t>
  </si>
  <si>
    <t>500t000000V02S7</t>
  </si>
  <si>
    <t>Josh Boylan</t>
  </si>
  <si>
    <t>josh.a.boylan@gmail.com</t>
  </si>
  <si>
    <t>Wants gym membership canceled and a full refund</t>
  </si>
  <si>
    <t>00019947</t>
  </si>
  <si>
    <t>500t000000V02PE</t>
  </si>
  <si>
    <t>Nora Carbine</t>
  </si>
  <si>
    <t>necarbine@comcast.net</t>
  </si>
  <si>
    <t>Charged  membership while gym was closed</t>
  </si>
  <si>
    <t>00019949</t>
  </si>
  <si>
    <t>500t000000V02aQ</t>
  </si>
  <si>
    <t>Juanita Jones</t>
  </si>
  <si>
    <t>juanita.jones2@gmail.com</t>
  </si>
  <si>
    <t>321-525-6282</t>
  </si>
  <si>
    <t>5/21/2020</t>
  </si>
  <si>
    <t>Unable to cancel gym membership during COVID</t>
  </si>
  <si>
    <t>00020177</t>
  </si>
  <si>
    <t>500t000000ViZAj</t>
  </si>
  <si>
    <t>Carlos Senon Benito</t>
  </si>
  <si>
    <t>carlossenon@gmail.com</t>
  </si>
  <si>
    <t>5/26/2020</t>
  </si>
  <si>
    <t>I signed up for WSC membership on March 3 , 2020 and paid the full year membership because they convinced me it was cheaper than month to month. On March 16, all the WS clubs were closed due to COVID19. However, apart for being charged 720 dollars of full membership on the day I signed up , they charged me additional 75 dollars of monthly fee and again on April 1st. So they charged me a yearly membership and twice the monthly membership even before one month has passed. I called them and asked them for refund but there was no action on their side, I wrote and called again but to date I wasn't refunded a penny. It is outrageous, I asked for cancellation and full refund but they are just ignoring me.</t>
  </si>
  <si>
    <t>00020263</t>
  </si>
  <si>
    <t>500t000000VjIY1</t>
  </si>
  <si>
    <t>Adam Rice</t>
  </si>
  <si>
    <t>arice1289@gmail.com</t>
  </si>
  <si>
    <t>9738969984</t>
  </si>
  <si>
    <t>5/27/2020</t>
  </si>
  <si>
    <t>On May 19 2020, my wife and I formally requested to cancel our gym membership with Washington Sports Clubs but they are refusing to process the cancellation request in a timely manner and will not confirm cancellations until an unspecified date in the future. This is in direct conflict with the recent agreement between AG Racine and WSC (owned by Town Sports International, or TSI) and is unfair to the members who are following the required actions and are still unable to cancel their memberships._x000D_
_x000D_
We are members at the Columbia Heights location and, per WSC's instructions, went to the contact portal on their website and sent a formal request under the "cancel membership" option to the Columbia Heights location on 19 May 2020. After over a week with no response or acknowledgement, we contacted an individual named David Haydu who has a signature block identifying him as a "Senior Business Director" for TSI. He replied a day later telling us to "send a letter to your home club," which w</t>
  </si>
  <si>
    <t>00020276</t>
  </si>
  <si>
    <t>500t000000VjOiL</t>
  </si>
  <si>
    <t>Adrienne Gizicki</t>
  </si>
  <si>
    <t>gizicki@gmail.com</t>
  </si>
  <si>
    <t>Unable to cancel membership, new policy requires a cancellation letter being sent to closed gym</t>
  </si>
  <si>
    <t>00020285</t>
  </si>
  <si>
    <t>500t000000VjTkf</t>
  </si>
  <si>
    <t>Michaila Miller</t>
  </si>
  <si>
    <t>danddmiller1@cox.net</t>
  </si>
  <si>
    <t>Had to move to CA , gym will not cancel membership</t>
  </si>
  <si>
    <t>00020286</t>
  </si>
  <si>
    <t>500t000000VjTpa</t>
  </si>
  <si>
    <t>Thomas Sharpe</t>
  </si>
  <si>
    <t>tomsharpe@me.com</t>
  </si>
  <si>
    <t>202-360-3384</t>
  </si>
  <si>
    <t>6/2/2020</t>
  </si>
  <si>
    <t>Gym charging during COVID closure</t>
  </si>
  <si>
    <t>00020395</t>
  </si>
  <si>
    <t>500t000000Vkubs</t>
  </si>
  <si>
    <t>Brennan Sullivan</t>
  </si>
  <si>
    <t>brennansullivan@gmail.com</t>
  </si>
  <si>
    <t>202-904-6577</t>
  </si>
  <si>
    <t>Gym charging during  closure due to COVID</t>
  </si>
  <si>
    <t>00020396</t>
  </si>
  <si>
    <t>500t000000Vkuk1</t>
  </si>
  <si>
    <t>Genci Sallabanda</t>
  </si>
  <si>
    <t>gsallabanda@gmail.com</t>
  </si>
  <si>
    <t>5088266757</t>
  </si>
  <si>
    <t>Washington sports Club Georgetown charged me twice for the month of April while the gym has been closed since March. _x000D_
First payment was on  4/2/20 for the amount of $ 52.95, and second payment was on 4/6/20 for the amount of $63.59.</t>
  </si>
  <si>
    <t>00020397</t>
  </si>
  <si>
    <t>500t000000Vkuuc</t>
  </si>
  <si>
    <t>Thomas Carmody</t>
  </si>
  <si>
    <t>carmodythomas@gmail.com</t>
  </si>
  <si>
    <t>6/3/2020</t>
  </si>
  <si>
    <t>Washington Sports Club/Town Sports International</t>
  </si>
  <si>
    <t>Consumer Complaint about Washington Sports Club/Town Sports International</t>
  </si>
  <si>
    <t>I was charged for approximately 1.5 months of membership dues by the Washington Sports Club from mid-March until the end of April despite all of their locations being closed.  I contacted WSC and their parent company, Town Sports International, in mid-April, after receiving their instructions as to how to cancel my membership.  While they did cancel my membership, they did not agree to reimbursement for the dues I paid while their club was closed.  I traded emails with their representative who says that I must consider their "one month cancellation notice" clause.  Seems illogical to invoke this when they charged me dues without providing any service. I think I am owed $93.38.</t>
  </si>
  <si>
    <t>00020409</t>
  </si>
  <si>
    <t>500t000000Vl8VF</t>
  </si>
  <si>
    <t>Maria Lorenzo Robla</t>
  </si>
  <si>
    <t>mrlorenzorobla@gmail.com</t>
  </si>
  <si>
    <t>7867047474</t>
  </si>
  <si>
    <t>6/9/2020</t>
  </si>
  <si>
    <t>Town Sports International Holdings- Washington Sports Club Georgetown Park</t>
  </si>
  <si>
    <t>Consumer Complaint about Town Sports International Holdings- Washington Sports Club Georgetown Park</t>
  </si>
  <si>
    <t>On February 24 and as per my agreement, I notified Washington Sports Club (Georgetown, M street location) to cancel my membership starting May 1st as I was moving out of state. I received a confirmation email  that briefly said "Your cancellation request has been received and processed. Based on the terms of your agreement (listed below), your last day of club usage will be on 04/30/20. You will receive your finial charge on 04/01/20. This charge will be prorated. Please let me know if you require further assistance. Thank you. Have a wonderful day!". Due to the coronavirus, I wasn't able to use the gym a couple of weeks in March and April, even though I was charged for it. On June 8 I contacted the manager to ascertain how I was going to be reimbursed for those missing weeks and I received the following message from David Haydu, the General Manager "At this time we are not offering any refunds for the time you were billed.  That time is equal to our standard notice period.  We have wo</t>
  </si>
  <si>
    <t>00020492</t>
  </si>
  <si>
    <t>500t000000Vm4tD</t>
  </si>
  <si>
    <t>Matthew Mauney</t>
  </si>
  <si>
    <t>shop@matthewmauney.com</t>
  </si>
  <si>
    <t>Billed for gym  while closed due to COVID</t>
  </si>
  <si>
    <t>00020501</t>
  </si>
  <si>
    <t>500t000000WS860</t>
  </si>
  <si>
    <t>Raul Sanchez</t>
  </si>
  <si>
    <t>6/15/2020</t>
  </si>
  <si>
    <t>Washington Sports Clubs Kalorama Sports Management Association (Town Sports International)</t>
  </si>
  <si>
    <t>Consumer Complaint about Washington Sports Clubs Kalorama Sports Management Association (Town Sports International)</t>
  </si>
  <si>
    <t>I have been a member of the Washington Sports Club (Kalorama Sports Management Association), 1835 Connecticut Ave., NW Washington DC 20009 since 11/29/2014. I requested my membership to be canceled by May 1st but due to the Covid-19 I wasn't able to neither access nor to use (for obvious reasons!) the gym since March 13 but despite of this, I was fully charged for my membership for both months. I have contacted the gym several times, via email and phone and nobody has answered any of my questions.</t>
  </si>
  <si>
    <t>00020585</t>
  </si>
  <si>
    <t>500t000000WTeuB</t>
  </si>
  <si>
    <t>Cheryl Jackson</t>
  </si>
  <si>
    <t>crjackson34@gmail.com</t>
  </si>
  <si>
    <t>4435704431</t>
  </si>
  <si>
    <t>Gym membership cancellation</t>
  </si>
  <si>
    <t>00020694</t>
  </si>
  <si>
    <t>500t000000WUpOe</t>
  </si>
  <si>
    <t>Mark Leventhal</t>
  </si>
  <si>
    <t>mark@markleventhal.com</t>
  </si>
  <si>
    <t>2025508638</t>
  </si>
  <si>
    <t>6/22/2020</t>
  </si>
  <si>
    <t>Washington sports club took dues out of my account on April 1st and never refunded my monies.  In addition, I have repeatedly asked them to cancel my membership, and they have not done so.  Please help.  The club is located at 1211 Connecticut Avenue NW</t>
  </si>
  <si>
    <t>00020709</t>
  </si>
  <si>
    <t>500t000000WUuwS</t>
  </si>
  <si>
    <t>Rosie Brinckerhoff</t>
  </si>
  <si>
    <t>rosiebrinck@gmail.com</t>
  </si>
  <si>
    <t>Washington Sports Club transferred all of its Georgetown customer contracts to its Glover Park location without consent. They provided an email for customer complains and cancellation requests, but have not answered any emails or calls from customers looking to cancel. They started charging us again today.</t>
  </si>
  <si>
    <t>00020714</t>
  </si>
  <si>
    <t>500t000000WUwpq</t>
  </si>
  <si>
    <t>Allison Kingery</t>
  </si>
  <si>
    <t>allisonkingery@gmail.comm</t>
  </si>
  <si>
    <t>I have been trying to cancel my membership with Washington Sports Club (WSC) with no success. The company refuses to respond to multiple attempts at communication. Cancellation requests were made on March 26, April 1, April 9, and June 19 (when I realized again that my membership had not been cancelled).  My April 9 cancellation was in response to an April 8, 2020 email from them detailing how to cancel: "If you wish to cancel your membership, please visit your club-specific website and click on “contact us” to send your cancel request to your local club", which I did.  _x000D_
_x000D_
WSC has now issued an invoice for June membership.  I no longer wish to be a member of WSC but they have made it impossible to cancel my membership with them. They have also now closed the gym location I used to attend (Gallery Place).  My membership is $52.99 monthly.  Despite being unable to use their gym due to COVID-19, they charged me full price for March and April 2020 and are resuming this in June 2020. _x000D_
_x000D_
I</t>
  </si>
  <si>
    <t>00020713</t>
  </si>
  <si>
    <t>500t000000WUwmd</t>
  </si>
  <si>
    <t>Caroline Marsh</t>
  </si>
  <si>
    <t>carolinebmarsh@gmail.com</t>
  </si>
  <si>
    <t>2144995908</t>
  </si>
  <si>
    <t>Washington Sports Clubs will charge me $15/month to keep my gym membership frozen, even though I do not feel safe returning to the gym because of the pandemic. We all know it is irresponsible to be going to the gym during this time. Additionally, they are charging members who choose not to freeze their accounts the regular gym fee, even though they are not offering their classes, which is part of what you pay membership fees for.</t>
  </si>
  <si>
    <t>00020724</t>
  </si>
  <si>
    <t>500t000000WV15i</t>
  </si>
  <si>
    <t>Allison Gierszewski</t>
  </si>
  <si>
    <t>allison.gierszewski@gmail.com</t>
  </si>
  <si>
    <t>6/23/2020</t>
  </si>
  <si>
    <t>I am writing to alert you of alarming and fraudelent business practices of the Washington Sports Club.  After promising members the ability to cancel their memberships during COVID-19, WSC has not responded to attempts to do so. Now, the WSC has sent members an invoice for the full month of services for June, when the club has just re-opened June 22, 2020. They are also attempting invoice members the remainder of March fees that were credited due to club closures. This is fraulent and they are clearly not looking out for the safety and well-being of their members. I have contacted WSC once again in attempts to cancel. This unethical that they are charging members when they are not able to use services or worry about their safety of returning.</t>
  </si>
  <si>
    <t>00020745</t>
  </si>
  <si>
    <t>500t000000WVLfq</t>
  </si>
  <si>
    <t>Joshua Rebollozo</t>
  </si>
  <si>
    <t>jrebol@outlook.com</t>
  </si>
  <si>
    <t>6/24/2020</t>
  </si>
  <si>
    <t>Billed by gym while closed, wants to cancel membership</t>
  </si>
  <si>
    <t>00020749</t>
  </si>
  <si>
    <t>500t000000WVNdr</t>
  </si>
  <si>
    <t>Adam Lugg</t>
  </si>
  <si>
    <t>adamlugg@hotmail.com</t>
  </si>
  <si>
    <t>Concerns regarding gym reopening, gym to open with 50% capacity should be 5 people per 1k sq ft.</t>
  </si>
  <si>
    <t>00020750</t>
  </si>
  <si>
    <t>500t000000WVNfO</t>
  </si>
  <si>
    <t>Wendy Bader</t>
  </si>
  <si>
    <t>wendybb1@hotmail.com</t>
  </si>
  <si>
    <t>202-821-8091</t>
  </si>
  <si>
    <t>During COVID unable to attend gym near job, has been attending gym near her home, it has now closed, wants to cancel membership.</t>
  </si>
  <si>
    <t>00020752</t>
  </si>
  <si>
    <t>500t000000WVNlC</t>
  </si>
  <si>
    <t>Nathan Castle</t>
  </si>
  <si>
    <t>nralvaradocastle@gmail.com</t>
  </si>
  <si>
    <t>6/25/2020</t>
  </si>
  <si>
    <t>Unable to cancel gym membership, billed while closed due to COVID</t>
  </si>
  <si>
    <t>00020783</t>
  </si>
  <si>
    <t>500t000000WVlCt</t>
  </si>
  <si>
    <t>William Monteith</t>
  </si>
  <si>
    <t>williamdmonteith@gmail.com</t>
  </si>
  <si>
    <t>6/29/2020</t>
  </si>
  <si>
    <t>Washington Sports Club just charged my account today. They did not honor my request for cancellation in April and continue to pull money from my credit card.</t>
  </si>
  <si>
    <t>00020856</t>
  </si>
  <si>
    <t>500t000000X41X2</t>
  </si>
  <si>
    <t>Andrew Chen</t>
  </si>
  <si>
    <t>achen569@gmail.com</t>
  </si>
  <si>
    <t>7038873968</t>
  </si>
  <si>
    <t>During COVID-19, Washington Sports Club (WSC) was closed and they emailed their members that we could cancel our memberships online. I canceled my membership online on May 31, 2020. However, when I reached out to WSC, they told me that the online cancellation didn't count and I had to write a letter or go in when the clubs opened to cancel. Once the gym opened, I went in to cancel on June 25th and they told me that they needed 45 days notice and that I had to pay a cancellation fee and pay for the next 45 days. I should not be charged a cancellation fee and I should not be charged any additional fees as I do not feel safe to return to working out in this gym.</t>
  </si>
  <si>
    <t>00020857</t>
  </si>
  <si>
    <t>500t000000X41oN</t>
  </si>
  <si>
    <t>Chris Gorud</t>
  </si>
  <si>
    <t>chris.gorud@gmail.com</t>
  </si>
  <si>
    <t>6/30/2020</t>
  </si>
  <si>
    <t>Gym is reopening  but consumer is not comfortable in returning at this time due to COVID, co. is charging $15 a month to freeze consumer's account</t>
  </si>
  <si>
    <t>00020866</t>
  </si>
  <si>
    <t>500t000000X44wm</t>
  </si>
  <si>
    <t>Kathryn Arion</t>
  </si>
  <si>
    <t>kathryn.e.arion@gmail.com</t>
  </si>
  <si>
    <t>Gym has closed location that consumer uses &amp; consumer is unable to cancel membership</t>
  </si>
  <si>
    <t>00020867</t>
  </si>
  <si>
    <t>500t000000X44zl</t>
  </si>
  <si>
    <t>Eduardo Perdomo</t>
  </si>
  <si>
    <t>eduardo.13perdomo@gmail.com</t>
  </si>
  <si>
    <t>The Washington Sports Club has been conducting abusive and harming consumer practices against my person. General issues as follows: _x000D_
_x000D_
1. WSC charged me a $22 fee in June, without warning or explanation. I can only assume this was a prorated membership fee, which WSC were not entitled to charge as I paid full membership fees for March and April. WSC breached the agreement made with the Attorney General's office to credit members for March and April membership fees. _x000D_
_x000D_
2. WSC charged me an April membership fee, despite being closed, and ignored my April 7 request for a refund._x000D_
_x000D_
3. WSC renewed my contract, charged me an annual fee, and increased my monthly membership fee by $10, without warning. This monthly increase exceeds the $5 WSC were contractually allowed to increase my membership without providing a 60 day notice._x000D_
_x000D_
WSC charged me an anual membership fees Of $75 despite the fact I went to a month to month contract basis after the initial year of contract.</t>
  </si>
  <si>
    <t>00020874</t>
  </si>
  <si>
    <t>500t000000X46eO</t>
  </si>
  <si>
    <t>Kayla Connor</t>
  </si>
  <si>
    <t>connorkayla@gmail.com</t>
  </si>
  <si>
    <t>7/2/2020</t>
  </si>
  <si>
    <t>I have canceled my membership with Washington Sports Club in April via their club specific online contact form.  This method of cancellation was described in their April 8 email to members. I received a confirmation of my contact, but no further information and therefore assumed my membership had been canceled. However, in the last three days my credit card has been charged twice by WSC ($23.85 on 6/30, presumably a pro-rated charge for the last week of June, and $79.49 today - the full monthly rate). I have sent an email yesterday to TSI member help  (MemberHelp@tsiclubs.com) as well as sending another note reiterating my cancellation and requesting a refund through the club specific contact form.</t>
  </si>
  <si>
    <t>00020902</t>
  </si>
  <si>
    <t>500t000000X4beS</t>
  </si>
  <si>
    <t>Christopher Lathem</t>
  </si>
  <si>
    <t>cwrlathem@gmail.com</t>
  </si>
  <si>
    <t>I was charged by Washington Sports Club for monthly dues despite canceling my membership in April, in accordance with the email they sent.</t>
  </si>
  <si>
    <t>00020905</t>
  </si>
  <si>
    <t>500t000000X4cfI</t>
  </si>
  <si>
    <t>Daniel Moscatiello</t>
  </si>
  <si>
    <t>dmoscatiello414@gmail.com</t>
  </si>
  <si>
    <t xml:space="preserve">I am a member of the Washington Sports Club gym in Columbia Heights. The gym was obviously closed due to the coronavirus pandemic, which means I couldn't use my membership. My monthly membership fee is $68.69. Initially, WSC refused to freeze our memberships at no cost like every other gym did, claiming that "all dues paid will be applied as credits towards future months when the gym reopens". However, on April 1st 2020, they sent a mass email from Corporate saying that all memberships would be frozen at no cost. Yet April 1st is also when we were charged dues for the month of April, so by the time the email came we already were charged and couldn't stop that from happening. Now that the gym is open, I had expected my previously paid dues for the month of April to be applied to July, the first full month the gym is open, so that I wouldn't have to pay this month, as they promised. However, on July 1st, I saw a charge for $68.69 post to my credit card. The prepaid credit I was promised </t>
  </si>
  <si>
    <t>00020910</t>
  </si>
  <si>
    <t>500t000000X4gto</t>
  </si>
  <si>
    <t>Matthew Harbour</t>
  </si>
  <si>
    <t>mattharbour@comcast.net</t>
  </si>
  <si>
    <t>Washington Sports Club took payment for the month of April, a month in which they were closed due to the ongoing pandemic. I requested that month's payment be applied for the first month they are once again operational, which is this month of July. I was charged the full month's amount at the beginning of the month.</t>
  </si>
  <si>
    <t>00020912</t>
  </si>
  <si>
    <t>500t000000X4i4X</t>
  </si>
  <si>
    <t>Hannah Akuiyibo</t>
  </si>
  <si>
    <t>hv.beckett@gmail.com</t>
  </si>
  <si>
    <t>Washington Sports Club charged us monthly dues plus extra fees for June upon reopening (even after we canceled membership in April), continued to charge us through April, and have never responded to multiple emails requesting assistance. Our credit card had to rectify the fees because WSC was unresponsive</t>
  </si>
  <si>
    <t>00020924</t>
  </si>
  <si>
    <t>500t000000X4qFU</t>
  </si>
  <si>
    <t>E C</t>
  </si>
  <si>
    <t>ahsk@gmail.com</t>
  </si>
  <si>
    <t>Washington Spots Club - Columbia Heights</t>
  </si>
  <si>
    <t>Consumer Complaint about Washington Spots Club - Columbia Heights</t>
  </si>
  <si>
    <t>The Columbia Heights location of Washington Sports Club is not adequately enforcing proper safety measures of guests. _x000D_
_x000D_
Guests are told to wear gloves and masks in the gym at all times, however after entering many of the guests are immediately removing their gloves and in some cases even masks. These safety precautions are not being enforced by the gym. Additionally, while the gym has asked guests to remain 6 feet apart and keep personal items in lockers, these precautions are not being enforced either.</t>
  </si>
  <si>
    <t>00020929</t>
  </si>
  <si>
    <t>500t000000X4rR5</t>
  </si>
  <si>
    <t>Lynn Faught</t>
  </si>
  <si>
    <t>lynnfaught.dc@gmail.com</t>
  </si>
  <si>
    <t>202-483-1117</t>
  </si>
  <si>
    <t>When the Washington Sports Club at 1835 Connecticut Ave, NW  closed in late March, they posted a sign on the front door saying that REFUNDS would be sent to members for time the gym was closed.  I was charged for April and have been trying to reach someone at the company for three months now about receiving the promised refund.  Now they are open again and say that I can only be credited.  NO -- they promised a REFUND.  WSC is a racket, and I am a very unhappy customer.</t>
  </si>
  <si>
    <t>00020947</t>
  </si>
  <si>
    <t>500t000000X52Rs</t>
  </si>
  <si>
    <t>Brec Cooke</t>
  </si>
  <si>
    <t>brec.cooke@gmail.com</t>
  </si>
  <si>
    <t>My complaint is against Washington Sports Club for having charged me fees when I asked that my account be frozen due to the virus.  I emailed WSC in March and asked that my account be frozen pending the pandemic because the WSC was closed.  WSC charged my monthly fee for April even though they were closed and even after I had requested the freeze.  Then when they opened up in June, called as asked that they put a freeze on my membership because I am 68 years old and am not willing to go to the gym yet.  They said someone would contact me.  No on ever did.  They charged me a fee for a partial month of June and then on July 1 they charged me for the full month of July -- both against my direct request that my membership be put on hold.</t>
  </si>
  <si>
    <t>00020953</t>
  </si>
  <si>
    <t>500t000000X54v1</t>
  </si>
  <si>
    <t>Priscilla Magee</t>
  </si>
  <si>
    <t>priscillamagee1@gmail.com</t>
  </si>
  <si>
    <t>8126647981</t>
  </si>
  <si>
    <t>In March of 2020 I requested to cancel my membership with the Washington Sports Club after they closed their doors due to COVID-19. I attempted to contact customer service multiple times and was successful in April and submitted my membership cancellation request through their portal. In total, I submitted 4 emails cancelling my membership. Between June 29th-July 1st, Washington Sports Club has charged my credit card nearly $100 and has not explained the charges.</t>
  </si>
  <si>
    <t>00020961</t>
  </si>
  <si>
    <t>500t000000X5BTf</t>
  </si>
  <si>
    <t>Kristina Pflanz</t>
  </si>
  <si>
    <t>kpflanz@gmail.com</t>
  </si>
  <si>
    <t>6172339925</t>
  </si>
  <si>
    <t>I requested cancellation of my membership to the Washington Sports Club on 4 separate occasions via  the website (as they indicated from an email to members on 8 April - 23 April, 28 April, 30 April,  and 13 May. I never received a follow up or conformation of my cancellation, so I called on 1 July after being charged a pro-rated fee for June and was told to email the manager of my home club (Columbia Heights), Keith Barrett. I emailed both Keith and David Heydu, the regional membership corporate associate, to show my proof of previous cancellation requests and to request a refund for charges from April (services not rendered), June, and now July (should never have been charged), totaling $170.54. I told them I would be contacting the DC AG if they did not comply within 2 business days, and sure enough, they have not complied or responded in any way. I plan to reverse the June-July charges with my bank (and April if possible), but need your assistance canceling my membership and recoup</t>
  </si>
  <si>
    <t>00020973</t>
  </si>
  <si>
    <t>500t000000X5J80</t>
  </si>
  <si>
    <t>Julie Eisenberg</t>
  </si>
  <si>
    <t>julie.eisenberg@gmail.com</t>
  </si>
  <si>
    <t>7/7/2020</t>
  </si>
  <si>
    <t>I've been a member of Washington Sports Club - Columbia Heights for many years. They closed for Covid in March.  I was billed $58.29 on March 1, although the club was only open for half the month. The prorated amount was not credited to my account. I was billed $58.29 again on April 1. On June 21, I was charged $17.89, which I was told was my prorated June membership - though in their accounts it shows it was $58.29, so there may have been some sort of credit in my account (unclear). On July 1, I was charged an additional $58.29. The club has not started offering classes yet, and when they reopened, they did not notify me - nor did they offer an option to freeze my membership. When I called about freezing, I was told it would be an ADDITIONAL $15/month charge.  I was also required to pay a rate lock fee in January of $63.59, which has not been prorated. I would like my money back for services not provided.</t>
  </si>
  <si>
    <t>00020978</t>
  </si>
  <si>
    <t>500t000000X5LCt</t>
  </si>
  <si>
    <t>Erik Belmont</t>
  </si>
  <si>
    <t>belmont.erik@gmail.com</t>
  </si>
  <si>
    <t>Unable to cancel gym membership since May.</t>
  </si>
  <si>
    <t>00020984</t>
  </si>
  <si>
    <t>500t000000X5Pz9</t>
  </si>
  <si>
    <t>Marcus Lemon</t>
  </si>
  <si>
    <t>mjlemon@aol.com</t>
  </si>
  <si>
    <t>717-371-6364</t>
  </si>
  <si>
    <t>Canceled gym membership months ago &amp; still being charged</t>
  </si>
  <si>
    <t>00020982</t>
  </si>
  <si>
    <t>500t000000X5PpE</t>
  </si>
  <si>
    <t>Amy Fulton</t>
  </si>
  <si>
    <t>amy.fulton@finnegan.com</t>
  </si>
  <si>
    <t>202-408-4438</t>
  </si>
  <si>
    <t>Canceled gym membership 3 months ago &amp; still being charged.</t>
  </si>
  <si>
    <t>00020983</t>
  </si>
  <si>
    <t>500t000000X5Pu9</t>
  </si>
  <si>
    <t>Stefan Hock</t>
  </si>
  <si>
    <t>stefan.g.hock@gmail.com</t>
  </si>
  <si>
    <t>Canceled gym membership on  April 16th &amp; still being billed.</t>
  </si>
  <si>
    <t>00020988</t>
  </si>
  <si>
    <t>500t000000X5REA</t>
  </si>
  <si>
    <t>Siobhan O'Grady</t>
  </si>
  <si>
    <t>sio.ogrady@gmail.com</t>
  </si>
  <si>
    <t>Canceled gym membership on April 22nd &amp; still being billed.</t>
  </si>
  <si>
    <t>00020989</t>
  </si>
  <si>
    <t>500t000000X5RIb</t>
  </si>
  <si>
    <t>Andrew Wainer</t>
  </si>
  <si>
    <t>awainer35@gmail.com</t>
  </si>
  <si>
    <t>2025093674</t>
  </si>
  <si>
    <t>7/9/2020</t>
  </si>
  <si>
    <t>Can you please intervene against Washington Sports Club ASAP? They have been robbing members for years. I have called and emailed them for months trying to cancel my membership with no response. Meanwhile their gyms are closed and they are charging dues even after they have laid off staff. This is disgusting. Why is no action being taken. I want all my dues refunded while their were closed. They are charging full while it is impossible to use their services. These complains have gone on for years. Why are we still in the same situation?</t>
  </si>
  <si>
    <t>00021025</t>
  </si>
  <si>
    <t>500t000000X5uXO</t>
  </si>
  <si>
    <t>Lindsey Sharp</t>
  </si>
  <si>
    <t>sharp.lindsey@gmail.com</t>
  </si>
  <si>
    <t>646-305-2541</t>
  </si>
  <si>
    <t>Unable to cancel gym membership since April 28th, received new charges, wants refund.</t>
  </si>
  <si>
    <t>00021028</t>
  </si>
  <si>
    <t>500t000000X5x5c</t>
  </si>
  <si>
    <t>J. Joseph Hewitt</t>
  </si>
  <si>
    <t>jonnelclothier@yahoo.com</t>
  </si>
  <si>
    <t>Canceled gym membership in April, still being billed</t>
  </si>
  <si>
    <t>00021031</t>
  </si>
  <si>
    <t>500t000000X5xLp</t>
  </si>
  <si>
    <t>Kristin Valdez</t>
  </si>
  <si>
    <t>kmvaldez2@gmail.com</t>
  </si>
  <si>
    <t>Wants to cancel gym membership &amp; wants refund</t>
  </si>
  <si>
    <t>00021036</t>
  </si>
  <si>
    <t>500t000000X61d1</t>
  </si>
  <si>
    <t>Gregory Dean</t>
  </si>
  <si>
    <t>gregdean@hotmail.com</t>
  </si>
  <si>
    <t>7/14/2020</t>
  </si>
  <si>
    <t>I  was a member of Washington Sports Club and tried to cancel my membership pursuant to the  guidelines outlined in the letter of the DC Attorney General to Town Sports International.  Washington Sports Club continues to charge my credit card.</t>
  </si>
  <si>
    <t>00021105</t>
  </si>
  <si>
    <t>500t000000X6yuI</t>
  </si>
  <si>
    <t>Jacob Lavelle</t>
  </si>
  <si>
    <t>jacob.p.lavelle@gmail.com</t>
  </si>
  <si>
    <t>7/21/2020</t>
  </si>
  <si>
    <t>[Complaint 1] Like many other consumers, I, too, was charged by Washington Sports Club (WSC) in April despite all its locations being closed. I would like my complaint added to that tally._x000D_
_x000D_
[Complaint 2] WSC is unevenly applying a 30-day notice requirement such that cancellations submitted immediately prior to re-opening would appear to have no such requirement while requests submitted immediately after are being charged an additional month despite both groups of requests being processed at the same time. This justification is being used to hold the money referenced in Complaint 1._x000D_
_x000D_
[Complaint 3] WSC dismissed out of hand the notion of any credit or refund to members for the portion of March during which all locations were closed, retaining the full month's payment despite providing services for only part of the month. This would appear to contradict it's understanding following the response to Complaint 1, an understanding it seemed to demonstrate by charging members a pro-rated a</t>
  </si>
  <si>
    <t>00021211</t>
  </si>
  <si>
    <t>500t000000XoMAz</t>
  </si>
  <si>
    <t>Angela Palmieri</t>
  </si>
  <si>
    <t>angela.palmieri@hotmail.com</t>
  </si>
  <si>
    <t>803-920-1554</t>
  </si>
  <si>
    <t>7/22/2020</t>
  </si>
  <si>
    <t>Unable to cancel gym membership , has not received refund and co. continues to bill consumer.</t>
  </si>
  <si>
    <t>00021238</t>
  </si>
  <si>
    <t>500t000000Xoh3V</t>
  </si>
  <si>
    <t>laura seidman</t>
  </si>
  <si>
    <t>laura.seidman1@gmail.com</t>
  </si>
  <si>
    <t>Although I cancelled my gym membership with the DC Washington Sports Club  in March when DC Sports Club ceased operations due to the COVID-19 pandemic, I see that I have been illegitimately charged $148.56 (listed below) since that time.  I have reached out to them and they have not responded and resolved this issue.  They have violated your office's policy.  Please help me receive my money as soon as possible. Thank you for your help._x000D_
_x000D_
July 13 - $10.60_x000D_
July 1 - $52.99_x000D_
June 29 - $15.99_x000D_
April 1 - $15.99_x000D_
March 1 dues - $52.99 _x000D_
_x000D_
Total = $148.56</t>
  </si>
  <si>
    <t>00021249</t>
  </si>
  <si>
    <t>500t000000Xon1F</t>
  </si>
  <si>
    <t>Ashley Mills</t>
  </si>
  <si>
    <t>cameron.mills@gmail.com</t>
  </si>
  <si>
    <t>7/29/2020</t>
  </si>
  <si>
    <t>I cancelled my membership with Washington Sports Club and received confirmation in writing (dated April 15th) that I would not be charged again. However, I received a charge on my credit card on June 30th.</t>
  </si>
  <si>
    <t>00021348</t>
  </si>
  <si>
    <t>500t000000Xq8gB</t>
  </si>
  <si>
    <t>Marc Phillpotts</t>
  </si>
  <si>
    <t>marcphillpotts@gmail.com</t>
  </si>
  <si>
    <t>Wants to cancel membership and receive a refund, charged during COVID.</t>
  </si>
  <si>
    <t>00021350</t>
  </si>
  <si>
    <t>500t000000Xq9c2</t>
  </si>
  <si>
    <t>Andrew Kramer</t>
  </si>
  <si>
    <t>akramer0812@gmail.com</t>
  </si>
  <si>
    <t>Moved from DC, unable to cancel gym membership since March</t>
  </si>
  <si>
    <t>00021351</t>
  </si>
  <si>
    <t>500t000000Xq9c4</t>
  </si>
  <si>
    <t>Tonya Williams</t>
  </si>
  <si>
    <t>tonyawilliams73@gmail.com</t>
  </si>
  <si>
    <t>202-579-6776</t>
  </si>
  <si>
    <t>Charged gym membership during COvID</t>
  </si>
  <si>
    <t>00021352</t>
  </si>
  <si>
    <t>500t000000XqA88</t>
  </si>
  <si>
    <t>Bryan Surcouf</t>
  </si>
  <si>
    <t>bryansurcouf@gmail.com</t>
  </si>
  <si>
    <t>301-653-1108</t>
  </si>
  <si>
    <t>Charged gym membership during COVID</t>
  </si>
  <si>
    <t>00021353</t>
  </si>
  <si>
    <t>500t000000XqADD</t>
  </si>
  <si>
    <t>Kevin O'Brien</t>
  </si>
  <si>
    <t>kobdc@hotmail.com</t>
  </si>
  <si>
    <t>202-462-5371</t>
  </si>
  <si>
    <t>Charged for gym membership after canceling</t>
  </si>
  <si>
    <t>00021354</t>
  </si>
  <si>
    <t>500t000000XqAGM</t>
  </si>
  <si>
    <t>Tom Teresi</t>
  </si>
  <si>
    <t>tateresi@msn.com</t>
  </si>
  <si>
    <t>202-270-6623</t>
  </si>
  <si>
    <t>7/30/2020</t>
  </si>
  <si>
    <t>Gym not following COVID guidelines, empty hand sanitizers &amp; staff not wearing masks.</t>
  </si>
  <si>
    <t>00021378</t>
  </si>
  <si>
    <t>500t000000XqSW2</t>
  </si>
  <si>
    <t>Bibi Khan</t>
  </si>
  <si>
    <t>bibizkhan2000@yahoo.com</t>
  </si>
  <si>
    <t>8/2/2020</t>
  </si>
  <si>
    <t>Complaint against Washington Sports Club DC_x000D_
I have been a member of Washington DC Sports club. I regular gym is the one located in Glover Park NC in Wisconsin Ave DC. Mid-March we had a shutdown in DC due to COVID- 19. I reach out the gym, but only got a voice mail (saying all refunds will be done when gym reopens) I was unable to reach anyone to disconnect my membership. And no one got back to me. After the DC mayor announced phase 2 of the reopening, I called many times and l left messages to get my refund for the months I did not got to the gym. No one returned my calls. _x000D_
I eventually made online contact to Mr. Bruce Rubin. _x000D_
This was his response Bibi,_x000D_
_x000D_
“I understand your frustration. However I am unable to refund for past charges when the gym was open. I can place a credit on account to be applied to any future charges for your April 202 payment. This means the credit from April could be applied to freeze or cancellation charges. Please let me know how you would like to procee</t>
  </si>
  <si>
    <t>00021429</t>
  </si>
  <si>
    <t>500t000000Xr3Cw</t>
  </si>
  <si>
    <t>Thomas Swegle</t>
  </si>
  <si>
    <t>twsdc@verizon.net</t>
  </si>
  <si>
    <t>202-420-0855</t>
  </si>
  <si>
    <t>8/5/2020</t>
  </si>
  <si>
    <t>Charged by gym after cancellation.</t>
  </si>
  <si>
    <t>00021483</t>
  </si>
  <si>
    <t>500t000000XrlUM</t>
  </si>
  <si>
    <t>Smith Gardner</t>
  </si>
  <si>
    <t>ksmithgardner@gmail.com</t>
  </si>
  <si>
    <t>803-473-8418</t>
  </si>
  <si>
    <t>8/6/2020</t>
  </si>
  <si>
    <t>Unable to cancel gym membership.</t>
  </si>
  <si>
    <t>00021497</t>
  </si>
  <si>
    <t>500t000000Xrz1b</t>
  </si>
  <si>
    <t>Bea Carroll</t>
  </si>
  <si>
    <t>badeahcarroll@yahoo.com</t>
  </si>
  <si>
    <t>3015301017</t>
  </si>
  <si>
    <t>8/10/2020</t>
  </si>
  <si>
    <t>WSC</t>
  </si>
  <si>
    <t>Consumer Complaint about WSC</t>
  </si>
  <si>
    <t>WSC in North Bestheda is refusing to issue refunds for the part of March when clubs were closed, was waiving the advance notice cancellation requirement in accordance to a letter submitted by DC Attonet General dated 3 April 2020. Instead they are charging me a pro-rated fee for June (when they opened) and fees forJuly and August. I did submit via web services and an email to cancel all service effective March 24.</t>
  </si>
  <si>
    <t>00021549</t>
  </si>
  <si>
    <t>500t000000YUhmm</t>
  </si>
  <si>
    <t>David Pesapane</t>
  </si>
  <si>
    <t>dave_pesapane@my.uri.edu</t>
  </si>
  <si>
    <t>I was charged $74.19 as an annual gym membership fee from Washington Sports Club, on Aug 7th 2020. This was after the gym froze my membership on April 8th, due to Covid-19 restrictions. They sent me an email on April 26th stating the following:_x000D_
_x000D_
"Effective April 8, 2020, your membership has been put on freeze — at no cost to you — going forward while we are temporarily closed. There is no action required on your part to enact the freeze."_x000D_
_x000D_
This was the last I heard from them on the matter. My gym location, Gallery Place - Chinatown, closed down permanently shortly after. _x000D_
_x000D_
After I was charged the membership fee, I called the gym for an explanation, I was re-directed to the Columbia Heights location. The manager said that my membership had been unfrozen, and transferred to the Columbia Heights location, and thus allowed for the annual membership charge. This occurred without my knowledge or approval. The manager claimed the gym sent me an email, but I didn't receive  anything from</t>
  </si>
  <si>
    <t>00021561</t>
  </si>
  <si>
    <t>500t000000YUqkf</t>
  </si>
  <si>
    <t>Elizabeth Sworobuk</t>
  </si>
  <si>
    <t>bsworobuk@aol.com</t>
  </si>
  <si>
    <t>2022775711</t>
  </si>
  <si>
    <t>8/17/2020</t>
  </si>
  <si>
    <t>During late March and early April I made several attempts to contact WSC in Glover Park by calling and leaving several messages canceling my sons gym membership. I sent multiple emails through their website requesting that the account be canceled. I was never responded to. At this point because they were charging gym fees while being closed, I called my bank and had a 6 month stop payment for any WSC activity._x000D_
I had my son stop by in August to confirm cancellation. He was told that since I had a hold and they could not run 2 months of changes that WSC would NOT cancel my account. I called and was then hung up on when I told the employee (a said manager) that I would not agree to pay and had indeed tried to cancel. She said I had to have proof of the emails I had sent but since it is through their website I have no proof except of what they have received from me. I can procure evidence through my phone calls that I made several attempts to call and the length of the calls which would s</t>
  </si>
  <si>
    <t>00021674</t>
  </si>
  <si>
    <t>500t000000YWPse</t>
  </si>
  <si>
    <t>Karl Rios</t>
  </si>
  <si>
    <t>Karlrios@yahoo.com</t>
  </si>
  <si>
    <t>8/19/2020</t>
  </si>
  <si>
    <t>I joined Washington Sports Club in 2019. In 2020, I attempted to cancel my membership after the Glover Park WSC shut down and due to my concerns about Covid. I sent a web request through their website to cancel my membership. I received an acknowledgment on April 10, 2020 from David Haydu that my request was received and they would be in contact. I assumed it was in process so assumed it was done when I didn’t see any additional charges. Starting in June, the charges started again quickly. Unfortunately, I did not notice the payments until today.</t>
  </si>
  <si>
    <t>00021722</t>
  </si>
  <si>
    <t>500t000000YX3nb</t>
  </si>
  <si>
    <t>Jayhon Ghassem-Zadeh</t>
  </si>
  <si>
    <t>jghassemzadeh@gmail.com</t>
  </si>
  <si>
    <t>Hello, I was a member of Washington Sports Club. I have been trying to work with them for weeks to refund me the money. I spent an even longer time trying to get in touch with the leadership to cancel. They have been evasive, and acting in bad faith.  After saying the accounts were "Frozen" they continued to bill us and refuse to acknowledge our emails/efforts to get in touch with them by march to cancel our memberships</t>
  </si>
  <si>
    <t>00021734</t>
  </si>
  <si>
    <t>500t000000YXBzx</t>
  </si>
  <si>
    <t>00021744</t>
  </si>
  <si>
    <t>500t000000YXCfd</t>
  </si>
  <si>
    <t>Conor Kilcoyne</t>
  </si>
  <si>
    <t>conor.kilcoyne@gmail.com</t>
  </si>
  <si>
    <t>Gym membership frozen due to COVID, charged $15/month, wants to know if entitled to a refund.</t>
  </si>
  <si>
    <t>00021745</t>
  </si>
  <si>
    <t>500t000000YXCpq</t>
  </si>
  <si>
    <t>Sean Mcnally</t>
  </si>
  <si>
    <t>mcnally.sean59@gmail.com</t>
  </si>
  <si>
    <t>The Washington Sports Club charged me two months while closed for Covid and failed to cancel my membership multiple time.</t>
  </si>
  <si>
    <t>00021747</t>
  </si>
  <si>
    <t>500t000000YXE0I</t>
  </si>
  <si>
    <t>Matthew Stewart</t>
  </si>
  <si>
    <t>stew.ma.j@gmail.com</t>
  </si>
  <si>
    <t>I was a member of Washington Sports Club up until April 2020.  I requested that my membership be cancelled on April 9, 2020 &amp; was finally received/acknowledged on April 20th.  I cancelled due to the Covid-19 pandemic,  during the months of March &amp; April, I was charged my monthly fee even though the gyms were closed in accordance with DC statues.  _x000D_
_x000D_
I was told when my cancellation was acknowledged, that I would be credited for the monthly dues in March &amp; April due to the closure of the gym.  As of August 20, 2020 -- I have not received my promised refunds for these two months.</t>
  </si>
  <si>
    <t>00021746</t>
  </si>
  <si>
    <t>500t000000YXDoc</t>
  </si>
  <si>
    <t>Melida Ceballos</t>
  </si>
  <si>
    <t>melidavc@gmail.com</t>
  </si>
  <si>
    <t>WSC charged me membership during Covid. They charged me membership and training fees on the same day the gym closed. Later on, I was not notified that the gym had reopened and charged me again. Initially they refused to issue me a refund for the fees. Eventually I was refund for the training fees ( $402.80) and one month of membership was cancelled. I was not refunded for the month I was charged (May) and didn't use. They "allowed" me to use the gym for 45 days after I cancelled my membership, but. I didn't go because I didn't feel safe going to the gym. I asked to pause my account free of charge and they told me it was not possible and I would have to pay for that.</t>
  </si>
  <si>
    <t>00021749</t>
  </si>
  <si>
    <t>500t000000YXEQL</t>
  </si>
  <si>
    <t>Benjamin Spear</t>
  </si>
  <si>
    <t>benjaminhspear@gmail.com</t>
  </si>
  <si>
    <t>WSC charging membership fees during COVID after requesting that my membership be frozen.</t>
  </si>
  <si>
    <t>00021750</t>
  </si>
  <si>
    <t>500t000000YXF67</t>
  </si>
  <si>
    <t>Elan Dalton</t>
  </si>
  <si>
    <t>elan@vt.edu</t>
  </si>
  <si>
    <t>WSC (Columbia Heights location) charged me for April membership, even though they had shutdown due to COVID-19.</t>
  </si>
  <si>
    <t>00021751</t>
  </si>
  <si>
    <t>500t000000YXGTS</t>
  </si>
  <si>
    <t>Robert Carey</t>
  </si>
  <si>
    <t>kyle.carey4@gmail.com</t>
  </si>
  <si>
    <t>Washington Sports Club (Town Sports international LLC) has chareged me for a gym membership while they were closed due to the pandmenic and began charging me with out notification  of resumption of services and fees starting in June of 2020</t>
  </si>
  <si>
    <t>00021754</t>
  </si>
  <si>
    <t>500t000000YXI0I</t>
  </si>
  <si>
    <t>Robert Klosowski</t>
  </si>
  <si>
    <t>iambobbyk@gmail.com</t>
  </si>
  <si>
    <t>Washington Sports Club has continued to charge my gym membership fees throughout the closure due to the Covid-19 pandemic. I have written to Town Sports International on several occasions requesting a refund and a halt to my membership fees. They have not been responsive. I visited the Columbia Heights location on 7/8/20 to cancel my membership and request a refund, which was ignored. They continue to charge my credit card. I have since disputed the charges through my credit card and Town Sports International is fighting my dispute.</t>
  </si>
  <si>
    <t>00021758</t>
  </si>
  <si>
    <t>500t000000YXKCQ</t>
  </si>
  <si>
    <t>Kristina Womack</t>
  </si>
  <si>
    <t>romtina@hotmail.com</t>
  </si>
  <si>
    <t>3017489895</t>
  </si>
  <si>
    <t>Washington Sports Clubs (Glover Park) did not refund the club fees for the times when they were closed (partial month of March and full month of April)</t>
  </si>
  <si>
    <t>00021768</t>
  </si>
  <si>
    <t>500t000000YXPA5</t>
  </si>
  <si>
    <t>Adam Kent</t>
  </si>
  <si>
    <t>a.davidkent@gmail.com</t>
  </si>
  <si>
    <t>6087726205</t>
  </si>
  <si>
    <t>Washington Sports Clubs charged me even though I cancelled my membership.</t>
  </si>
  <si>
    <t>00021769</t>
  </si>
  <si>
    <t>500t000000YXQ1g</t>
  </si>
  <si>
    <t>Kelly Martin</t>
  </si>
  <si>
    <t>kmart1815@gmail.com</t>
  </si>
  <si>
    <t>4152460566</t>
  </si>
  <si>
    <t>In addition to being charged $52.69 for the month of April, after area clubs had closed, I have had continued issues with the company. _x000D_
_x000D_
We never received an email from WSC stating that their gyms had officially been closed due to COVID-19, I only guessed that this was the case when I heard about the Mayor's orders to close such businesses. After hearing about this, I got in contact with WSC customer support via a generic support email on March 25 asking if there would be any opportunity for members to safely retrieve their belongings from the club's lockers. The only response I received was a generic email saying that all questions and concerns would be addressed once the club was fully operational again. I waited a couple of months because I understood that times were uncertain and crazy, but when I still hadn't heard anything about members' belongings trapped in the clubs, I tried emailing again - no response. _x000D_
_x000D_
The next communication I received was an email on June 19 stating t</t>
  </si>
  <si>
    <t>00021770</t>
  </si>
  <si>
    <t>500t000000YXQmm</t>
  </si>
  <si>
    <t>John-Paul Hayworth</t>
  </si>
  <si>
    <t>jpindc@gmail.com</t>
  </si>
  <si>
    <t>I've been a member of WSC  since 2008. I tried to pause my membership in March, but was charged for April,  May and July. Even after i requested cancellation.</t>
  </si>
  <si>
    <t>00021771</t>
  </si>
  <si>
    <t>500t000000YXRF2</t>
  </si>
  <si>
    <t>Rachel MacFarland</t>
  </si>
  <si>
    <t>rachel216@gmail.com</t>
  </si>
  <si>
    <t>Washington Sports Club charged me fees for all of March and April while the gyms were closed part way through March. I was never notified that the gym would reopen in June, but was charged for part of June ($17.49) and then again for a full month at the start of July ($58.29). I checked WSC's website after seeing the charges on my credit card and a large banner on the site stated that all gyms were still closed . _x000D_
Once I was able to go by the gym in person and see that it was open, I called and was told I would have to come in person to freeze my account. When I did go to the gym to complete the required form, no manager was available to discuss reimbursement of April charges and the associate could not tell me when the manager would be in. I was given an email address for the manager._x000D_
I first asked the manager to put a freeze on my account, then found out that they would be charging a $15 monthly fee for this and asked to cancel my membership. After several days of back and forth on</t>
  </si>
  <si>
    <t>00021773</t>
  </si>
  <si>
    <t>500t000000YXSpu</t>
  </si>
  <si>
    <t>Mathew Friedman</t>
  </si>
  <si>
    <t>mathewafriedman@gmail.com</t>
  </si>
  <si>
    <t>I am attempting to cancel my membership with Washington Sports Club, but they have been non-responsive and do not provide easy ways to contact them. I joined at the Gallery Place location. I received an email from WSC on June 18, 2020 stating that the location would be closed and I could use other locations. The email provided a contact name for follow-up questions. On August 13, 2020 I wrote to the person listed in the email from WSC to say that the alternate locations were not convenient for me and that I would like to cancel my membership. As of this writing, I haven't gotten a response. _x000D_
_x000D_
 I've been a member since October 2015 and renegotiated my contract March 3, 2020, just before the Gallery Place club closed temporarily due to the COVID-19 pandemic. One of the ways WSC lists for how to cancel a membership is to go in person, but obviously, I can't go to my original club, since it isn't open anymore. After seeing news reports of AG Karl Racine's latest action about WSC and Town</t>
  </si>
  <si>
    <t>00021781</t>
  </si>
  <si>
    <t>500t000000YXWzD</t>
  </si>
  <si>
    <t>Yael Spira</t>
  </si>
  <si>
    <t>yaelshap34@gmail.com</t>
  </si>
  <si>
    <t>I am a member of the Washington Sports Club and I wanted to report that on April 1 my credit card was charged $47.69 monthly membership fee, even though all gyms were closed starting March 13 and I could not use their services. I was not reimbursed that amount, but they did stop charging me after April.</t>
  </si>
  <si>
    <t>00021822</t>
  </si>
  <si>
    <t>500t000000YY0gj</t>
  </si>
  <si>
    <t>Christopher Nagle</t>
  </si>
  <si>
    <t>christopher.nagle@gmail.com</t>
  </si>
  <si>
    <t>2408556179</t>
  </si>
  <si>
    <t>At the start of the COVID-19 pandemic, I contacted Washington Sports Clubs through their website contact form to cancel my membership.  I was unhappy with how WSC did not contact members to inform them of what was happening, that they continued to charge membership fees despite the gym being closed, and how my many attempts at calling the Columbia Heights location went unanswered.  There was simply no other way to get in touch with WSC.  Before I contacted WSC to cancel my membership, I had contacted WSC to pause my membership and received no response either.  Now that gyms have reopened, I contacted WSC to see whether my cancellation had been processed.  It had not, of course, and WSC had my account in arrears for monthly dues and for my annual membership fee (I had also frozen payment through my credit card company to prevent further unauthorized charges).  I have since paid WSC the amount in arrears  and sent them more notices that I'd like to cancel my account.</t>
  </si>
  <si>
    <t>00021828</t>
  </si>
  <si>
    <t>500t000000YY1kc</t>
  </si>
  <si>
    <t>Pamela Deutseh</t>
  </si>
  <si>
    <t>pamela_deutseh@discovery.com</t>
  </si>
  <si>
    <t>00021829</t>
  </si>
  <si>
    <t>500t000000YY1ZL</t>
  </si>
  <si>
    <t>Sara Zellner</t>
  </si>
  <si>
    <t>sizellner7@gmail.com</t>
  </si>
  <si>
    <t>Canceled gym membership but co. won't refund fess charged during closure.</t>
  </si>
  <si>
    <t>00021830</t>
  </si>
  <si>
    <t>500t000000YY1uD</t>
  </si>
  <si>
    <t>Anna Purinton</t>
  </si>
  <si>
    <t>anna.purinton@gmail.com</t>
  </si>
  <si>
    <t>202-320-7283</t>
  </si>
  <si>
    <t>Difficult to cancel gym membership and charged for a month during closure.</t>
  </si>
  <si>
    <t>00021831</t>
  </si>
  <si>
    <t>500t000000YY1yU</t>
  </si>
  <si>
    <t>Hannah Putman</t>
  </si>
  <si>
    <t>hjputman@gmail.com</t>
  </si>
  <si>
    <t>443-791-4708</t>
  </si>
  <si>
    <t>Canceled gym membership in April and still being charged.</t>
  </si>
  <si>
    <t>00021832</t>
  </si>
  <si>
    <t>500t000000YY230</t>
  </si>
  <si>
    <t>Howard Schindel</t>
  </si>
  <si>
    <t>howard.schindel@gmail.com</t>
  </si>
  <si>
    <t>301-943-7134</t>
  </si>
  <si>
    <t>Gym charged consumer during closure and refused to provide a refund.</t>
  </si>
  <si>
    <t>00021833</t>
  </si>
  <si>
    <t>500t000000YY2BP</t>
  </si>
  <si>
    <t>Nour Nadri</t>
  </si>
  <si>
    <t>nour.nadri21@gmail.com</t>
  </si>
  <si>
    <t>In the beginning of April my bank account was charged the monthly membership fee for my gym, Washington Sports Club. As you know by now this was during the beginning of the coronvirus pandemic. All gyms were closed which meant I had no reason to believe I would be charged for the month of April given the fact that the gym is not open. I attempted to call one of the WSC locations in DC but without success. I went to their website and I used the "Contact Us" submission form to ask for my membership cancellation. I never received any kind of confirmation of my attempted contact for any kind of bot or human employee and in talking with a colleague who is also a member at WSC, she also did not receive a confirmation. I assumed that it was normal and that someone would get back to me eventually. However, I did not want to be waiting months to hear back from an employee all while being charged monthly fees for a service I physically cannot access and in even more uncertain financial times whe</t>
  </si>
  <si>
    <t>00021875</t>
  </si>
  <si>
    <t>500t000000ZABl5</t>
  </si>
  <si>
    <t>Juules van Leusden</t>
  </si>
  <si>
    <t>juulesvanleusden@hotmail.com</t>
  </si>
  <si>
    <t>8/31/2020</t>
  </si>
  <si>
    <t>I was charged by Washington Sports Club for the month of April, a pro-rated rent for the month of June, and for the month of July.  I tried to contact them and request my subscription be canceled, but I did not hear back.  In July, I tried to cancel my membership multiple times, but no one would cancel my account.  When they finally canceled my account, I was told I would be refunded for April, June, and July within 15 business days, but I have yet to be refunded.</t>
  </si>
  <si>
    <t>00022012</t>
  </si>
  <si>
    <t>500t000000ZBVHL</t>
  </si>
  <si>
    <t>Hunter Hammond</t>
  </si>
  <si>
    <t>hunter_hammond@outlook.com</t>
  </si>
  <si>
    <t>Washington Sports Club charged me a total of $284.04 between April 1, 2020 and August 13, 2020 before I could finally cancel on August 14, 2020. Charges include: $63.59 on Apr 1; $19.08 on Jun 29; $63.59 on Jul 1; $63.59 on Aug 1; and $74.19 on Aug 13. I assumed my membership was frozen given the pandemic and only realized I was charged on August 13 when the final charge hit my Chase credit card account. I called on August 14 to cancel and requested a refund. I was told a refund was not available unless I could prove I tried to cancel the account before the charges.</t>
  </si>
  <si>
    <t>00022026</t>
  </si>
  <si>
    <t>500t000000ZBffF</t>
  </si>
  <si>
    <t>Laura Danberg</t>
  </si>
  <si>
    <t>laura.danberg@gmail.com</t>
  </si>
  <si>
    <t>3025988819</t>
  </si>
  <si>
    <t>Washington Sports Club permanently closed their Georgetown location and subsequently transferred all memberships to their Glover Park location.  They did not communicate this to me at all, I have not received any i formation from them since April.  I learned they closed Georgetown through social media, so I emailed their Glover Park location to formally cancel my membership on 6/30, with no response.  There is a new charge now pending on my credit card for September membership dues.</t>
  </si>
  <si>
    <t>00022039</t>
  </si>
  <si>
    <t>500t000000ZBsEu</t>
  </si>
  <si>
    <t>Adam Pawluk</t>
  </si>
  <si>
    <t>akpawluk@gmail.com</t>
  </si>
  <si>
    <t>9/3/2020</t>
  </si>
  <si>
    <t>Canceled gym membership in April, still being charged.</t>
  </si>
  <si>
    <t>00022079</t>
  </si>
  <si>
    <t>500t000000ZCI0N</t>
  </si>
  <si>
    <t>Peter McCluskey</t>
  </si>
  <si>
    <t>peterjmccluskey@gmail.com</t>
  </si>
  <si>
    <t>202-297-4145</t>
  </si>
  <si>
    <t>Gym has not provided promised refund and continues to bill.</t>
  </si>
  <si>
    <t>00022082</t>
  </si>
  <si>
    <t>500t000000ZCHmR</t>
  </si>
  <si>
    <t>Nitiana Mann</t>
  </si>
  <si>
    <t>nitidoss@yahoo.com</t>
  </si>
  <si>
    <t>202-235-4519</t>
  </si>
  <si>
    <t>Unable to cancel gym membership, gym closed and membership was automatically transferred to another gym.</t>
  </si>
  <si>
    <t>00022083</t>
  </si>
  <si>
    <t>500t000000ZCIIz</t>
  </si>
  <si>
    <t>Ben Hukill</t>
  </si>
  <si>
    <t>benhuki13@gmail.com</t>
  </si>
  <si>
    <t>Requested gym cancel membership 3 times, still being charged</t>
  </si>
  <si>
    <t>00022084</t>
  </si>
  <si>
    <t>500t000000ZCINp</t>
  </si>
  <si>
    <t>DYLAN SPIEL</t>
  </si>
  <si>
    <t>spieldylan@gmail.com</t>
  </si>
  <si>
    <t>9/4/2020</t>
  </si>
  <si>
    <t>TSI / WSC have been charging me non stop since I cancelled my membership during COVID, after you struck a deal with them to return the amounts they illegally charged when the Gym was not operating, but they have continued to charge me monthly after I cancelled my membership, as recent as Sept 3rd they charged me in full.  I have reached out to them numerous times and they have only ever reached out to me once to say they will charge me a cancellation fee ( which they can not do since I cancelleed within the window they had agreed upon, but in addition to the cancellation fee they are still charging me regularly as if I am going to the gym even though my membership has been cancelled for over 4 months.</t>
  </si>
  <si>
    <t>00022103</t>
  </si>
  <si>
    <t>500t000000ZMWZ2</t>
  </si>
  <si>
    <t>Ethan Thornburg</t>
  </si>
  <si>
    <t>ethanthornburg1996@gmail.com</t>
  </si>
  <si>
    <t>4344205537</t>
  </si>
  <si>
    <t>Washington sports club</t>
  </si>
  <si>
    <t>Consumer Complaint about Washington sports club</t>
  </si>
  <si>
    <t>My complaint is about Washington sports club and their billing practice during the Covid 19 pandemic. At the beginning of the pandemic back in March I was charged my $42 and some change even though the gym was closed and I could not use it. I emailed them and asked to freeze my account which they did but charged me $5 to freeze it. Now they unfroze my account which I did not give them permission for and they charged me for another month. Not only that but they closed my local gym and moved my membership to another location.</t>
  </si>
  <si>
    <t>00022107</t>
  </si>
  <si>
    <t>500t000000ZMcGP</t>
  </si>
  <si>
    <t>Anna McCaffrey</t>
  </si>
  <si>
    <t>annamccaffrey13@gmail.com</t>
  </si>
  <si>
    <t>9492284940</t>
  </si>
  <si>
    <t>I was billed by Washington Sports Club for the months of April, May, June, and July when the club was not opened. I called multiple times to cancel my membership but was unable to. Upon making contact with Washington Sports Club in July requesting to cancel my membership, they refused to refund my past charges from when the club was not open. Additionally after submitting a formal cancellation request and receiving confirmation, I was charged an additional Annual Fee.</t>
  </si>
  <si>
    <t>00022116</t>
  </si>
  <si>
    <t>500t000000ZMhLF</t>
  </si>
  <si>
    <t>Katie Keegan</t>
  </si>
  <si>
    <t>katiekeegan24@gmail.com</t>
  </si>
  <si>
    <t>9/5/2020</t>
  </si>
  <si>
    <t>Washington Sports Club charged me $69.98 on April 1, 2020 for two memberships even though my gym located in Bethesda, MD was shut down on March 24, 2020 when Governor Larry Hogan issued an executive order to close all gyms in Maryland.</t>
  </si>
  <si>
    <t>00022126</t>
  </si>
  <si>
    <t>500t000000ZMn7v</t>
  </si>
  <si>
    <t>Mara Shreck</t>
  </si>
  <si>
    <t>mara.shreck@yahoo.com</t>
  </si>
  <si>
    <t>2027312779</t>
  </si>
  <si>
    <t>9/7/2020</t>
  </si>
  <si>
    <t xml:space="preserve">I have been a member of the South Bethesda branch of Washington Sports Club for years.  I followed the news when they were required to waive dues while closed during the pandemic., so I did not cancel my membership, as I was hoping to return when it was safe.  Unbeknownst to me, however, while closed for the pandemic they also permanently closed that branch and transferred my membership to the South Dupont location, which is much too far for me.  There were no signs alerting members to the upcoming change when I was in the gym in early March.  I only became aware of the change, and that they had begun charging me again for membership to a club I have no intention of using, when I saw the charge on my August credit card statement (they charged me for July as well but I didn't see the charge).  When I contacted the gym, they claimed they had notified me of these plans by email.  However the email they have on file for me is not mine, nor is it close to mine or anything I ever would have </t>
  </si>
  <si>
    <t>00022137</t>
  </si>
  <si>
    <t>500t000000ZMyAu</t>
  </si>
  <si>
    <t>Hana Freymiller</t>
  </si>
  <si>
    <t>hanasf@gmail.com</t>
  </si>
  <si>
    <t>9072309121</t>
  </si>
  <si>
    <t>Washington Sports Club just charged me $276.81 after I had canceled my membership on April 7, 2020 due to the pandemic. Previous charges were reversed. This time there was no explanation for the charges or notice. I have filed a complaint with them, but am not optimistic about a reply.</t>
  </si>
  <si>
    <t>00022154</t>
  </si>
  <si>
    <t>500t000000ZN8ps</t>
  </si>
  <si>
    <t>Joe Stevens</t>
  </si>
  <si>
    <t>joseph.w.stevens@gmail.com</t>
  </si>
  <si>
    <t>I tried to cancel my Washington Sports Club Membership in March.  It said I had to go in to do so, which I could not do because of the pandemic.  I removed my credit card information from my account, they continue to charge me.</t>
  </si>
  <si>
    <t>00022161</t>
  </si>
  <si>
    <t>500t000000ZNBzV</t>
  </si>
  <si>
    <t>Patrick Wilson</t>
  </si>
  <si>
    <t>pwilson@genvisa.com</t>
  </si>
  <si>
    <t>202-341-3775</t>
  </si>
  <si>
    <t>Washington Sports Club in Glover Park has been charging me the monthly fees - while they were closed and even AFTER I cancelled in person - as soon as they reopened.  I got a counter signed cancellation form that they signed acknowledging my cancellation but still continue too bill me. Four calls and another in person visit - three emails all have failed to get them to stop billing me. They refuse - I know your office is currently pursuing them for this exact scheme. Could you please assist me?</t>
  </si>
  <si>
    <t>00022163</t>
  </si>
  <si>
    <t>500t000000ZNGqa</t>
  </si>
  <si>
    <t>Ben Farino</t>
  </si>
  <si>
    <t>farinoben@gmail.com</t>
  </si>
  <si>
    <t>I had a membership at Washington Sports Clubs in Columbia Heights. I was billed for the month of April despite the gym being closed to corona virus. The gym sent communication that you could ask for your membership to be cancelled during this period, so I requested cancellation and was told no further action was needed on my part. In July, I noticed that I had been billed for June, July, and billed for a membership renewal fee in August so I contacted them again and was able to get the membership cancelled but not my money back.</t>
  </si>
  <si>
    <t>00022181</t>
  </si>
  <si>
    <t>500t000000ZNMc1</t>
  </si>
  <si>
    <t>Raiana Berman</t>
  </si>
  <si>
    <t>raianaberman@icloud.com</t>
  </si>
  <si>
    <t>On March 15, 2020 I went into the Columbia Heights location to cancel my monthly membership with Washington Sports Club. In April, I received a general email to members stating Washington Sports Club will be putting all memberships on pause due to Covid19. On June 30, 2020, I was charged $22.26 for unknown reasons by Washington Sports Club. The same day, I sent an email about the situation, later that day WSC replied to forward a copy of the cancellation form to which I replied that I no longer had the form as I did not think this would be an ongoing issue almost 4 months later and have not heard from them since. On July 2, 2020, I was automatically charged the monthly fee of $74.19 to which I called my bank to dispute the charge. On August 3, 2020, I was automatically charged the monthly fee of $74.19 again. On September 6, 2020, I received a “Collection of Invoices with Past Due Balances” via email. On September 8, 2020, I was automatically charged the monthly fee of $74.19 again.</t>
  </si>
  <si>
    <t>00022185</t>
  </si>
  <si>
    <t>500t000000ZNPJb</t>
  </si>
  <si>
    <t>Victoria Knight</t>
  </si>
  <si>
    <t>victoria.knight100@gmail.com</t>
  </si>
  <si>
    <t>Washington Sports Club charged me for the full months of March and April even though the gym was closed as of March 16, due to Mayor Bowser's order that gyms be closed for COVID-19. I emailed Washington Sports Club in April asking to be refunded for these withdrawals, but I wasn't. I also asked the club to freeze my membership until the gym was reopened, which did seem to occur.  However, I was then charged again in June (a prorated amount) and the full amount in July, but wasn't notified by the gym that they would be reopening and would start charging again.</t>
  </si>
  <si>
    <t>00022209</t>
  </si>
  <si>
    <t>500t000000ZNkne</t>
  </si>
  <si>
    <t>Alberto Lucini</t>
  </si>
  <si>
    <t>a_lucini@yahoo.com</t>
  </si>
  <si>
    <t>7039095046</t>
  </si>
  <si>
    <t>9/11/2020</t>
  </si>
  <si>
    <t>WSC is continuing to charge membership dues despite multiple requests to cancel</t>
  </si>
  <si>
    <t>00022237</t>
  </si>
  <si>
    <t>500t000000ZNyOV</t>
  </si>
  <si>
    <t>Shayela Hassan</t>
  </si>
  <si>
    <t>shassan@email.wm.edu</t>
  </si>
  <si>
    <t>9/12/2020</t>
  </si>
  <si>
    <t>Washington Sports Club made the cancellation process difficult and has charged us $296.74 since our attempt at cancelling on July 21.  Check-in records can prove we have not used WSC since the beginning of March. Once gyms opened up, they began charging again, and I requested a cancellation (see attachment) on 7/21. Though they claimed a 45-day cancellation policy, which allowed them to charge me TWICE since reaching out to cancel, they also charged a $10 fee to cancel. I had no issue with this but they kept delaying it further by saying they needed credit card info for that $10 fee, DESPITE continually billing my card on file. Even some WSC employees I spoke to were sympathetic and said they did not understand why their manager, Bruce Rubin was "being so difficult about this."  After I called WSC to follow up, a sudden charge for $137 showed up on my account. Bruce said he did not know what that was about and that it should not go through. I contacted the gym when it did go through, a</t>
  </si>
  <si>
    <t>00022251</t>
  </si>
  <si>
    <t>500t000000ZOITb</t>
  </si>
  <si>
    <t>glen sperling</t>
  </si>
  <si>
    <t>glensperlingdc@gmail.com</t>
  </si>
  <si>
    <t>12/14/2020</t>
  </si>
  <si>
    <t>Consumer Complaint about WSSC</t>
  </si>
  <si>
    <t>WSSC (and their parent company NYSC) have charged me after I asked to have my account closed.  I submitted an email request back in April.  They did NOT charge me for  6 months, then 9/1/20 they charged me $75.68 (my monthly amount) and then $37.84 of that on 10/1/20 (which is 50%) with no explanation.  I have been a member for over 10 years!  I contacted both my CC company and disputed and then had to call WSSC because they didn't respond to my email.  Attached is their response in which they threaten collections!!</t>
  </si>
  <si>
    <t>00023827</t>
  </si>
  <si>
    <t>500t000000d8Ram</t>
  </si>
  <si>
    <t>Joshua Warren</t>
  </si>
  <si>
    <t>shwarren86@gmail.com</t>
  </si>
  <si>
    <t>7/1/2020</t>
  </si>
  <si>
    <t>Consumer Complaint about Washington Sports Club - Columbia Heights (Town Sports Clubs)</t>
  </si>
  <si>
    <t>I joined Washington Sports Club - Columbia Heights in June 2019. When COVID-19 began, it was difficult to assess the virility and potential danger of the disease and I didn't immediately contact WSC to inquire about their actions taken to ensure customer safety. When it became clearer that gyms were hotspots, roughly around the middle of March, I contacted WSC regarding membership, as there had been no communication regarding membership status and COVID-19. At that point, they'd closed their facilities to the public, meaning that even if I'd wanted to continue going, I would not have. Yet, I continued to see monthly charges on my account. I read through a few local DC neighborhood forums and news articles that many people had had little luck contacting anyone from WSC. I wrote to them: _x000D_
"I have a membership with WSC. I have not received any emails or notifications regarding suspending accounts due to COVID-19. It is too risky to utilize my membership and request that automated monthly</t>
  </si>
  <si>
    <t>00020888</t>
  </si>
  <si>
    <t>500t000000X4LAR</t>
  </si>
  <si>
    <t>Jaspreet Singh</t>
  </si>
  <si>
    <t>jessesingh6@gmail.com</t>
  </si>
  <si>
    <t>Consumer Complaint about TOWN SPORTS INTERNATIONAL, LLC,d/b/a WASHINGTON SPORTS CLUBS</t>
  </si>
  <si>
    <t>This is related to OAG vs. TSI LLC. It must be noted that in addition to the membership dues, customers whose annual membership dues were due during the pandemic closure - company went ahead and charged those customers. I personally contacted the company in July and they charged me for May, Annual Membership, June and July and THEN canceled the membership. I have not used the facilities since March 2020 and do not plan to do so due to Covid.</t>
  </si>
  <si>
    <t>00021788</t>
  </si>
  <si>
    <t>500t000000YXYA1</t>
  </si>
  <si>
    <t>Justin Lamb</t>
  </si>
  <si>
    <t>justinlamb1231@gmail.com</t>
  </si>
  <si>
    <t>After canceling my gym membership at the start of the covid crisis in March I am still being charged</t>
  </si>
  <si>
    <t>00022069</t>
  </si>
  <si>
    <t>500t000000ZCAoA</t>
  </si>
  <si>
    <t>Colleen Rodak</t>
  </si>
  <si>
    <t>cmrodak@aol.com</t>
  </si>
  <si>
    <t>4349893119</t>
  </si>
  <si>
    <t>I contacted Washington Sports in Georgetown on  01 APRIL 2020 requested my membership be cancelled as I became ill during the Pandemic and would not be coming back to a group gym for at least a year after a vaccine is out for COVID 19 _x000D_
I am just now recovered and  found in my checking account that they have been charging me fees the entire time to include a change just days ago fro a gym location I cannot go to, because they have closed my location.</t>
  </si>
  <si>
    <t>00022253</t>
  </si>
  <si>
    <t>500t000000ZOJH7</t>
  </si>
  <si>
    <t>Davon Collins</t>
  </si>
  <si>
    <t>davonc@gmail.com</t>
  </si>
  <si>
    <t>3124518746</t>
  </si>
  <si>
    <t>8/13/2020</t>
  </si>
  <si>
    <t>Consumer Complaint about Washington Sports Club - Columbia Heights</t>
  </si>
  <si>
    <t>Hello, in July, I cancelled my gym membership at the Washington Sports Club.  I even paid a $39.95 cancellation fee, and received an invoice for the cancellation on July 18th. However, on August 13th, I was charged $503 for "training sessions" or some such. When I called, they refused to remove the charge.</t>
  </si>
  <si>
    <t>00021607</t>
  </si>
  <si>
    <t>500t000000YVUra</t>
  </si>
  <si>
    <t>Christian Barrera</t>
  </si>
  <si>
    <t>cristianbarrera8@gmail.com</t>
  </si>
  <si>
    <t>9/15/2020</t>
  </si>
  <si>
    <t>Canceled gym membership in 2019 but is still being charged.</t>
  </si>
  <si>
    <t>00022303</t>
  </si>
  <si>
    <t>500t000000ZOtYd</t>
  </si>
  <si>
    <t>Brian Flynn</t>
  </si>
  <si>
    <t>binglebee@yahoo.com</t>
  </si>
  <si>
    <t>631-379-5000</t>
  </si>
  <si>
    <t>Canceled gym membership, still being charged.</t>
  </si>
  <si>
    <t>00022304</t>
  </si>
  <si>
    <t>500t000000ZOtXH</t>
  </si>
  <si>
    <t>Harvey Levin</t>
  </si>
  <si>
    <t>hal2746@yahoo.com</t>
  </si>
  <si>
    <t>2022627410</t>
  </si>
  <si>
    <t>I am a DC resident.  For convenience purposes, I joined the Washington Sports Club South Bethesda.  WSC closed in response to the corona virus.  When WSC was allowed to reopen, WSC did not reopen the South Bethesda club.  Instead, WSC offered memberships elsewhere in Maryland, particularly the North Betheda club.  That was not my agreement -- I had joined only the South Bethesda club.  On JUne 26, 2020, promptly after WSC informed me of The permanent closure of South Bethesda, I expressly rejected the offer/opportunity to be a member at North Bethesda or another Maryland club.   I have the email rejecting that offer and telling WSC not to debit my bank account as well as a follow-up email in which I reiterated my rejection and asked for confirmation, which I never received.  Even though I am a DC resident, and WSC knew this, WSC did not offer me any opportunity at any DC WSC club.  Notwithstanding my explicit rejection, WSC is noow debiting my bank account for a membership at North Bet</t>
  </si>
  <si>
    <t>00022312</t>
  </si>
  <si>
    <t>500t000000ZOvYC</t>
  </si>
  <si>
    <t>Anthony LaPlaca</t>
  </si>
  <si>
    <t>alaplaca6@gmail.com</t>
  </si>
  <si>
    <t>8025588579</t>
  </si>
  <si>
    <t>My wife and I are former members at Washington Sports Club (WSC) located at 1835 Connecticut Avenue, NW.  In April 2020, we were charged the amount of $124.54 for the month, despite the fact that all WSC facilities were not open during that month.  We were later advised by WSC that it would apply a forward-looking one month credit to all members who were charged for April._x000D_
_x000D_
In June 2020, we froze our membership at WSC through the end of October 2020.  WSC did not charge our membership for the months of July 2020 or August 2020.  However, on September 2, 2020, my bank received an auto-renew charge of $124.54 , despite the freeze on our account.  On September 3, 2020, my wife visited the gym personally to cancel our membership on account of the fact that we are moving to Boston at the end of this year.  _x000D_
_x000D_
In response to the cancellation, WSC sent us an e-mail applying the mis-charge for April 2020 as a credit for October and canceling our membership effective October 23, 2020.  I req</t>
  </si>
  <si>
    <t>00022313</t>
  </si>
  <si>
    <t>500t000000ZOw18</t>
  </si>
  <si>
    <t>George Antwi-Obimpeh</t>
  </si>
  <si>
    <t>george.antwi-obimpeh@k12.dc.gov</t>
  </si>
  <si>
    <t>202-729-4350</t>
  </si>
  <si>
    <t>9/17/2020</t>
  </si>
  <si>
    <t>Dissatisfied with gym's cancellation procedures.</t>
  </si>
  <si>
    <t>00022356</t>
  </si>
  <si>
    <t>500t000000ZqTM8</t>
  </si>
  <si>
    <t>9084637184</t>
  </si>
  <si>
    <t>9/20/2020</t>
  </si>
  <si>
    <t>I cancelled my membership with Washington sports club on August 31st. After confirmation of cancellation and payment of any fees assessed, the Washington Sports club continued to charge me twice for large sums, without notification or justification of these charges. This was done after my membership was terminated.</t>
  </si>
  <si>
    <t>00022390</t>
  </si>
  <si>
    <t>500t000000Zr43I</t>
  </si>
  <si>
    <t>Michael Carney</t>
  </si>
  <si>
    <t>michaelpatrickcarney@gmail.com</t>
  </si>
  <si>
    <t>2023707721</t>
  </si>
  <si>
    <t>9/21/2020</t>
  </si>
  <si>
    <t>Washington Sports Club is seeking "past due" membership fees for the months in which the company was not open for normal operations because of the COVID-19 pandemic. I reversed the charge for April 2020 through my credit card company. Now I am receiving emails from a representative of WSC seeking payment for past due balances.</t>
  </si>
  <si>
    <t>00022405</t>
  </si>
  <si>
    <t>500t000000ZrE3R</t>
  </si>
  <si>
    <t>Gabriela Pohl</t>
  </si>
  <si>
    <t>arttoget@aol.com</t>
  </si>
  <si>
    <t>202-441-5902</t>
  </si>
  <si>
    <t>9/23/2020</t>
  </si>
  <si>
    <t>Gym is still billing consumer and her husband, wants refund</t>
  </si>
  <si>
    <t>00022447</t>
  </si>
  <si>
    <t>500t000000Zrmwz</t>
  </si>
  <si>
    <t>Laura Blessing</t>
  </si>
  <si>
    <t>lblessing@gmail.com</t>
  </si>
  <si>
    <t>9/24/2020</t>
  </si>
  <si>
    <t>Charged by gym during Pandemic, wants to cancel and receive a refund.</t>
  </si>
  <si>
    <t>00022471</t>
  </si>
  <si>
    <t>500t000000Zs7Mo</t>
  </si>
  <si>
    <t>Kari Paulson</t>
  </si>
  <si>
    <t>kari.paulson98@gmail.com</t>
  </si>
  <si>
    <t>9/29/2020</t>
  </si>
  <si>
    <t>Billed for canceled gym membership.</t>
  </si>
  <si>
    <t>00022566</t>
  </si>
  <si>
    <t>500t000000ZtHkt</t>
  </si>
  <si>
    <t>Hazel Smith</t>
  </si>
  <si>
    <t>hazel.a.smith@btinternet.com</t>
  </si>
  <si>
    <t>10/4/2020</t>
  </si>
  <si>
    <t xml:space="preserve">I lived in DC last year but had to leave in 6 March beaches of COVID. I am a UK citizen. While I was in DC I joined the washitin Sports Club in Georgetown._x000D_
When I left DC I wrote to WSC by mail im a letter dated 12 March 2020 cancelling membership. I never received a reply. I hen emailed the person who has signed me up at WSC Mr. Matcus Hicks  (I believe he was a manager) telling him I had not had a reply and asking him to cancel the membership. I did  to receive a reply and i did  to eceve a bunceback to the email, so it must have arrived (although of course i do not know if Mr. Hicks is is still employed at the WSC). I tried several times to phone the Georgetown and other branches of the WSC - even in other  cities like NYC - there was never anything other than a vice mail and nowhere to leave a message.  MY UK bank out of which the [aynet comes) eventually wrote to the WSC, and coyly not get a reply either, and so cancelled the debits. On October 2nd however a debit has bene taken </t>
  </si>
  <si>
    <t>00022681</t>
  </si>
  <si>
    <t>500t000000aNqAa</t>
  </si>
  <si>
    <t>August Imholtz</t>
  </si>
  <si>
    <t>august.a.imholtz@gmail.com</t>
  </si>
  <si>
    <t>10/5/2020</t>
  </si>
  <si>
    <t>Gym location has closed, wants to cancel membership.</t>
  </si>
  <si>
    <t>00022695</t>
  </si>
  <si>
    <t>500t000000aNwMi</t>
  </si>
  <si>
    <t>Gregory Giaccio</t>
  </si>
  <si>
    <t>greggiaccio@gmail.com</t>
  </si>
  <si>
    <t>610-761-4757</t>
  </si>
  <si>
    <t>Wants OAG aware of gym's billing and process to cancel membership</t>
  </si>
  <si>
    <t>00022705</t>
  </si>
  <si>
    <t>500t000000aO2N5</t>
  </si>
  <si>
    <t>Shaun Brodie</t>
  </si>
  <si>
    <t>brodies@gmail.com</t>
  </si>
  <si>
    <t>Unable to cancel gym membership &amp; co. continues to charge credit card</t>
  </si>
  <si>
    <t>00022708</t>
  </si>
  <si>
    <t>500t000000aO4EU</t>
  </si>
  <si>
    <t>Justin Geiger</t>
  </si>
  <si>
    <t>justin.geiger02@gmail.com</t>
  </si>
  <si>
    <t>10/6/2020</t>
  </si>
  <si>
    <t>Washington Sports Club never responded to my "Contact Us" submission requesting to cancel my membership on March 23rd.  I never received any communication about my request until I started seeing recurring charges on my credit card statement.  I received an invoice from DONOTREPLY@motionsoft.net notifying me of my cancellation on 07/28/2020</t>
  </si>
  <si>
    <t>00022747</t>
  </si>
  <si>
    <t>500t000000aOVB5</t>
  </si>
  <si>
    <t>Laura Breeden</t>
  </si>
  <si>
    <t>consumer.protection@dc.gov</t>
  </si>
  <si>
    <t>617-271-4128</t>
  </si>
  <si>
    <t>10/9/2020</t>
  </si>
  <si>
    <t>Unable to cancel gym membership</t>
  </si>
  <si>
    <t>00022796</t>
  </si>
  <si>
    <t>500t000000aPC7E</t>
  </si>
  <si>
    <t>Gregory Flatow</t>
  </si>
  <si>
    <t>glflatow@gmail.com</t>
  </si>
  <si>
    <t>10/11/2020</t>
  </si>
  <si>
    <t>Washington Sports Clubs Columbia Heights</t>
  </si>
  <si>
    <t>I am providing the following information as a summary of my Washington Sports Clubs (WSC) Columbia Heights membership cancellation in March 2020, and the failure of WSC to acknowledge this cancellation.  WSC must rescind all recent charges and refrain from future billing because of my March 2020 cancellation request._x000D_
_x000D_
I  also provided the following summary to the WSC managers mentioned below._x000D_
_x000D_
•	I called WSC Columbia Heights to cancel my membership on or about March 21, 2020, but WSC Columbia Heights did not answer the phone._x000D_
•	I submitted a Cancel Membership message on the WSC website at https://www.washingtonsportsclubs.com/contact-us on or about March 21, 2020.  The message provided instructions for WSC to cancel my gym membership._x000D_
•	I received the attached response on March 21, 2020, from David.Haydu@tsiclubs.com acknowledging that WSC received my submission._x000D_
•	Chase Bank instructed WSC to stop charging my credit card on March 22, 2020.  The attached document confirms this i</t>
  </si>
  <si>
    <t>00022822</t>
  </si>
  <si>
    <t>500t000000aPVGO</t>
  </si>
  <si>
    <t>Nick Newkirk</t>
  </si>
  <si>
    <t>nicholasnewkirk@yahoo.com</t>
  </si>
  <si>
    <t>707-758-0526</t>
  </si>
  <si>
    <t>10/15/2020</t>
  </si>
  <si>
    <t>Gym took two months of dues from account during COVID</t>
  </si>
  <si>
    <t>00022883</t>
  </si>
  <si>
    <t>500t000000aQXA5</t>
  </si>
  <si>
    <t>Pouyan Ahmadi</t>
  </si>
  <si>
    <t>pouyan.ahmadi@gmail.com</t>
  </si>
  <si>
    <t>14 days after joining gym, location closed and membership was transferred to another location that is not feasible.</t>
  </si>
  <si>
    <t>00022882</t>
  </si>
  <si>
    <t>500t000000aQX3Y</t>
  </si>
  <si>
    <t>Steph Stubler</t>
  </si>
  <si>
    <t>steph.stubler@gmail.com</t>
  </si>
  <si>
    <t>Closed account on Oct. 13th and gym won't address "credits" received during COVID closure</t>
  </si>
  <si>
    <t>00022885</t>
  </si>
  <si>
    <t>500t000000aQXFk</t>
  </si>
  <si>
    <t>Kimberly Coleman</t>
  </si>
  <si>
    <t>kimcoleman1@gmail.com</t>
  </si>
  <si>
    <t>Canceled gym membership 7 months ago &amp; they are calling demanding payment</t>
  </si>
  <si>
    <t>00022884</t>
  </si>
  <si>
    <t>500t000000aQXEH</t>
  </si>
  <si>
    <t>Jane Meacham</t>
  </si>
  <si>
    <t>jamiechan1@verizon.net</t>
  </si>
  <si>
    <t>2025805560</t>
  </si>
  <si>
    <t>10/22/2020</t>
  </si>
  <si>
    <t>Washington Sports Clubs DC - Columbia Heights</t>
  </si>
  <si>
    <t>Consumer Complaint about Washington Sports Clubs DC - Columbia Heights</t>
  </si>
  <si>
    <t>I am being pressured into making two months' membership payments to Washington Sports Club/Town Sports Inc. after my gym location at Gallery Place/Chinatown closed earlier this year. I have canceled my WSC membership effective Nov. 1, 2020, but company representatives continue to call me to ask for payment for September and October, when I was not even aware the Columbia Heights WSC location was reopened.</t>
  </si>
  <si>
    <t>00022974</t>
  </si>
  <si>
    <t>500t000000bTErW</t>
  </si>
  <si>
    <t>Bret Thompson</t>
  </si>
  <si>
    <t>bret.thompson@gmail.com</t>
  </si>
  <si>
    <t>10/26/2020</t>
  </si>
  <si>
    <t>On April 27, 2020 I contacted Washington Sports Club to cancel my membership due to COVID. I received an email receipt back confirming that they got my message. I never attended the gym again and in the past week received an email noting that I was a former member and encouraging me to sign-up. I just looked and found out that they charged me $22.26 on June 29th  and $74.19 on July 1, 2020 under the billing name WSC-KALORAMA.</t>
  </si>
  <si>
    <t>00023048</t>
  </si>
  <si>
    <t>500t000000bUPcR</t>
  </si>
  <si>
    <t>Ryan Platner</t>
  </si>
  <si>
    <t>ryanplat@gmail.com</t>
  </si>
  <si>
    <t>11/2/2020</t>
  </si>
  <si>
    <t>Washington Sports Clubus</t>
  </si>
  <si>
    <t>Consumer Complaint about Washington Sports Clubus</t>
  </si>
  <si>
    <t>(I think) I have resolved my issue with Washington Sports Clubs (WSC) but I wanted to offer another incidence of their practices in your lawsuit against them. I was a member of the WSC location at Gallery Place from Fall/Winter 2018 to the spring of this year. My wife and I moved to her home state of Texas at the end of April 2020. I attempted to cancel my membership for this reason and I literally could not speak to anyone. The policy, as you surely are aware, requires cancellation in person at a gym or by certified mail. Gyms were closed due to COVID-19 and the phone lines at all WSC locations seemed disconnected, as they each gave a generic Verizon message. I could not get any confirmation that my membership was actually cancelled after sending certified mail to the Gallery Place location. I called Bank of America and they agreed to block charges to my account but I still do not know if I "technically" ended my membership. There was even a typo in one of their generic emails to memb</t>
  </si>
  <si>
    <t>00023140</t>
  </si>
  <si>
    <t>500t000000bW8J0</t>
  </si>
  <si>
    <t>Cara Hackett</t>
  </si>
  <si>
    <t>cara.l.hackett@gmail.com</t>
  </si>
  <si>
    <t>8507285356</t>
  </si>
  <si>
    <t>Since the start of the COVID-19 pandemic in March 2020, Washington Sports Club (Columbia Heights location) has continuously deducted the monthly gym fee and other non-communicated fees  from my account since the gym has been closed and after I'd already contacted my bank block them from deducting from my account.  The charges occurred from March-November 2020</t>
  </si>
  <si>
    <t>00023147</t>
  </si>
  <si>
    <t>500t000000bWDa2</t>
  </si>
  <si>
    <t>Sergio Fontanez</t>
  </si>
  <si>
    <t>sergio.fontanez@gmail.com</t>
  </si>
  <si>
    <t>8609082410</t>
  </si>
  <si>
    <t>Town Sports International LLC</t>
  </si>
  <si>
    <t>Consumer Complaint about Town Sports International LLC</t>
  </si>
  <si>
    <t>The Washington Sports Club shutdown their Georgetown location, 3222 M St NW, that I was under contract to.  On June 22, as a courtesy, I notified them of my intent to cancel my membership because the  location in my contract had shutdown making my contract void.  They ignored my email and charged me my membership dues on November 2nd for $63.59.  I sent them another email on November 2nd requesting a refund due to a void contract and have not yet heard anything back.</t>
  </si>
  <si>
    <t>00023153</t>
  </si>
  <si>
    <t>500t000000bWPj2</t>
  </si>
  <si>
    <t>Gregory Anderson</t>
  </si>
  <si>
    <t>gma01123@gmail.com</t>
  </si>
  <si>
    <t>7038638594</t>
  </si>
  <si>
    <t>11/3/2020</t>
  </si>
  <si>
    <t>Washington Sports Club- Columbia Heights</t>
  </si>
  <si>
    <t>Consumer Complaint about Washington Sports Club- Columbia Heights</t>
  </si>
  <si>
    <t>I am having issues with Washington Sports Club continuing to charge my account after I had asked that my membership be canceled</t>
  </si>
  <si>
    <t>00023166</t>
  </si>
  <si>
    <t>500t000000bWcqC</t>
  </si>
  <si>
    <t>Preeti Chandramani</t>
  </si>
  <si>
    <t>aditic9@gmail.com</t>
  </si>
  <si>
    <t>11/4/2020</t>
  </si>
  <si>
    <t>Contact: Preeti Chandramani
Email: aditic9@gmail.com
From: Aditi Chandramani &lt;aditic9@gmail.com&gt;
Sent: Thursday, October 29, 2020 7:12 PM
To: Protection, Consumer (OAG) &lt;consumer.protection@dc.gov&gt;
Subject: WSC Lawsuit
Hi,
We would like to add our complaint to the WSC lawsuit. While the initial WSC we dealt with was based in Bethesda, MD, it is not bankrupt and moving to the DC location (Tenley Town).
My mother has been a member with WSC gyms for many years. She is elderly and as a way to build her muscle memory/balance, she signed up for personal training classes in June of 2019 through September 2019. She then left the country to go care for her recently deceased mother’s Will and notified WSC she was leaving and that she could not do personal training anymore.
The personal training lessons and the associated $380 charges were then stopped and instead she was charged a $15 fee in addition to the $20 fee she was already paying as a non-gym using member. This fee has continued since th</t>
  </si>
  <si>
    <t>00023177</t>
  </si>
  <si>
    <t>500t000000bw6pk</t>
  </si>
  <si>
    <t>Berta Zabaleta</t>
  </si>
  <si>
    <t>bertazc11@gmail.com</t>
  </si>
  <si>
    <t>Contact: Berta Zabaleta
Email: bertazc11@gmail.com
From: Berta Zabaleta &lt;bertazc11@gmail.com&gt;
Sent: Wednesday, November 4, 2020 1:06 AM
To: Protection, Consumer (OAG) &lt;consumer.protection@dc.gov&gt;
Subject: Well-Overdue Refund from Washington Sports Club
Hi,
I cancelled my membership with the Washington Sports Club within the first 15 days, which gives customers the right to not be charged for the upcoming month and annual fee. I was nevertheless charged $74.19 twice in early October. They acknowledged their mistake via email and said they had issued the refund, but that “ Due to TSI filing Chapter 11, we are in the midst of restructuring and so our refunds are delayed.
It will come through, I just don't have a timeline for you.
This is a legal filing that we are waiting for, so there is no escalating the issue to anyone else.”
(see attached)
I would like to know if this is true or just an excuse not to refund money that they took without any authorization whatsoever on my end. The refun</t>
  </si>
  <si>
    <t>00023188</t>
  </si>
  <si>
    <t>500t000000bwGS5</t>
  </si>
  <si>
    <t>Jared Jaeger</t>
  </si>
  <si>
    <t>jaegerjared@gmail.com</t>
  </si>
  <si>
    <t>11/15/2020</t>
  </si>
  <si>
    <t>Washington Sports Club - Glover Park</t>
  </si>
  <si>
    <t>Washington Spots Club charged us fees and refused to help cancel during the lockdown and made it very difficult and ended up taking about $100 of our money each.</t>
  </si>
  <si>
    <t>00023375</t>
  </si>
  <si>
    <t>500t000000bzhpC</t>
  </si>
  <si>
    <t>Frederick Cooke</t>
  </si>
  <si>
    <t>cooke.fredb@gmail.com</t>
  </si>
  <si>
    <t>11/24/2020</t>
  </si>
  <si>
    <t>Contact: Frederick Cooke
Email: cooke.fredb@gmail.com
From: Frederick C &lt;cooke.fredb@gmail.com&gt;
Sent: Monday, November 23, 2020 7:03 AM
To: Fred/Jasmin Cooke &lt;jasminandfred@gmail.com&gt;
Cc: Crayton Pinkney, Laura &lt;Laura.Pinkney@washingtonsportsclubs.com&gt;; David.Haydu@tsiclubs.com; Davies, Harry &lt;Harry.Davies@washingtonsportsclubs.com&gt;; Jarjussey, Jerreh &lt;Jerreh.Jarjussey@washingtonsportsclubs.com&gt;; Protection, Consumer (OAG) &lt;consumer.protection@dc.gov&gt;
Subject: Re:
Good morning,
I received a phone call from the local branch about my membership and dues.   I should not be receiving any calls about a membership that I cancelled back in March.  I am perplexed as to how no correspondence has been received from your organization until now.  I have forwarded my complaint along with many others in the District to the DC AG Karl Racine, in reference to your organizations unfair trade practices.  In accordance with your agreement back in April.  I have cc’d his office in this email
Please rever</t>
  </si>
  <si>
    <t>00023546</t>
  </si>
  <si>
    <t>500t000000cNSd5</t>
  </si>
  <si>
    <t>Sara Tharakan</t>
  </si>
  <si>
    <t>sltharakan@gmail.com</t>
  </si>
  <si>
    <t>12/10/2020</t>
  </si>
  <si>
    <t>Contact; Sara Tharakan
Email: sltharakan@gmail.com
From: Sara Tharakan &lt;sltharakan@gmail.com&gt;
Sent: Tuesday, December 8, 2020 8:43 PM
To: Protection, Consumer (OAG) &lt;consumer.protection@dc.gov&gt;
Subject: Fwd: Your Membership at WSC
I'd like to forward the below email as a complaint against the Washington Sports Club.
---------- Forwarded message ---------
From: Sara Tharakan &lt;sltharakan@gmail.com&lt;mailto:sltharakan@gmail.com&gt;&gt;
Date: Tue, Dec 8, 2020 at 6:49 PM
Subject: Re: Your Membership at WSC
To: Walker, Eric &lt;Eric.Walker@washingtonsportsclubs.com&lt;mailto:Eric.Walker@washingtonsportsclubs.com&gt;&gt;
Eric - please feel free to do the needful to cancel my membership. I don't care about your convoluted payment policy, I will not be paying anything further than what I've already been charged. Additionally, please remove the credit card you have on file for me as charging it will not work.
Thank you,
Sara
On Tue, Dec 8, 2020 at 6:18 PM Walker, Eric &lt;Eric.Walker@washingtonsportsclubs.com&lt;mail</t>
  </si>
  <si>
    <t>00023787</t>
  </si>
  <si>
    <t>500t000000d75qm</t>
  </si>
  <si>
    <t>Chase Pipkin</t>
  </si>
  <si>
    <t>chase.a.pipkin@gmail.com</t>
  </si>
  <si>
    <t>12/3/2020</t>
  </si>
  <si>
    <t>I have been unfairly charged by Washington Sports Club over the last four months, with seemingly no acknowledgement or rectification by WSC. I was charged by WSC for a monthly membership in April 2020 of $63.59, while the gym was closed. I have then started randomly to be charged again over the last four months, with out notice. $63.59 on September 1, no charge in October, $29.99 on November 1, and $63.59 on December 1. It is unclear why I am being charged as I haven't been to the gym since February. During that time the gym where I originally signed up for a membership (Chinatown) has since been closed. I have reported this to WSC to gain some clarity, but have so far not heard anything from WSC.</t>
  </si>
  <si>
    <t>00023661</t>
  </si>
  <si>
    <t>500t000000cxjEX</t>
  </si>
  <si>
    <t>Eliana Golding</t>
  </si>
  <si>
    <t>eliana.golding@gmail.com</t>
  </si>
  <si>
    <t>12/21/2020</t>
  </si>
  <si>
    <t>Washington Sport Club</t>
  </si>
  <si>
    <t>Consumer Complaint about Washington Sport Club</t>
  </si>
  <si>
    <t xml:space="preserve">In the beginning of the pandemic, once the Mayor issued her stay-at-home order, I sent a message to the Washington Sport Club requesting that they cancel my membership, believing that going to a gym during a global health pandemic would be a bad idea. I sent the message on March 31, 2020, and specifically asked to "cancel" not "freeze" my account. I also tried calling WSC but was not able to speak to anyone in person. I received a message in reply from David Haydu (David.Haydu@tsiclubs.com) saying: "Dear Member, We appreciate you reaching out to us and apologize for the delay in responding. For more information regarding your membership, please click on this link: http://www.washingtonsportsclubs.com/page/member-letter. Until we’re all back in the gym, take care of each other and remember, we’re all in this together. WSC Columbia Heights Team."  I clicked on the link and it brought me to a generic message that included the words, "no further action is required on your part." While the </t>
  </si>
  <si>
    <t>00023956</t>
  </si>
  <si>
    <t>500t000000dfJ6H</t>
  </si>
  <si>
    <t>James Payne</t>
  </si>
  <si>
    <t>james.payne18@yahoo.com</t>
  </si>
  <si>
    <t>Washington Sprots Club</t>
  </si>
  <si>
    <t>Consumer Complaint about Washington Sprots Club</t>
  </si>
  <si>
    <t>Washington Sports Club (WSC) extracted membership dues during the pandemic this past spring and early summer before I paused my account and stopped their transactions on my credit card.  WSC has refused to provide repayment for the months they extracted from me which includes: March, April, and June of 2020.</t>
  </si>
  <si>
    <t>00023967</t>
  </si>
  <si>
    <t>500t000000dfeyF</t>
  </si>
  <si>
    <t>12/22/2020</t>
  </si>
  <si>
    <t>I cancelled my membership to Washington Sports Club on August 31st, with an agreement in place and cancellation fees agreed upon with member services. I then received two charges in September totaling around $140 for the month of September. The reason they are giving me, is since they did not have a credit card on file, they therefore consider me a member during September when they finally cancelled my membership in the first few days of the Month. I had provided them proof I moved and should of ended any questions there, but am still fighting with them over these shady charges and reasoning.</t>
  </si>
  <si>
    <t>00023991</t>
  </si>
  <si>
    <t>500t000000dfuyw</t>
  </si>
  <si>
    <t>Matthew Zwerling</t>
  </si>
  <si>
    <t>mattrzwerling@gmail.com</t>
  </si>
  <si>
    <t>I was charged monthly fees from Washington Sports Club during the time the club was closed for the pandemic. After I realized what happened, I called and was told I would get a refund. I also was told I could freeze my account with no charges. I never got the refund and when I called today, they said it was added as a credit to my account, and that freezing my my account incurred a $15 a month charge, that the credit was paying into. They stole my money, lied about the terms of account freeze, and are using the money they owe me to pay themselves.</t>
  </si>
  <si>
    <t>00023992</t>
  </si>
  <si>
    <t>500t000000dfzsP</t>
  </si>
  <si>
    <t>Andrew Steinberg</t>
  </si>
  <si>
    <t>AndrewS101_98@yahoo.com</t>
  </si>
  <si>
    <t>12/30/2020</t>
  </si>
  <si>
    <t>Washington Sports Club, Columbia Heights</t>
  </si>
  <si>
    <t>Consumer Complaint about Washington Sports Club, Columbia Heights</t>
  </si>
  <si>
    <t>Washington Sports Club emailed me on December 9, 2020, to claim that I owe membership dues for the months of September, October, November and December (totaling $206.67) even though I asked for my membership to be frozen in April due to the pandemic and have not stepped foot into any of the Washington Sports Clubs gyms since March and would not even consider doing so until the general public has access to a vaccine.   Washington Sports Clubs also permanently closed its gym at Gallery Place, which is the gym where my current contract was signed, so that another reason why I should not be billed for membership dues.  I have asked that Washington Sports Clubs keep my membership frozen until April 2021 when I can reevaluate whether it is safe to return to the gym at that time.  I asked that my membership be cancelled if Washington Sports Clubs is unwilling to keep my membership frozen until April 2021 .  The most recent response has been that I must pay the $206.67 balance or the matter wi</t>
  </si>
  <si>
    <t>00024148</t>
  </si>
  <si>
    <t>500t000000e54pv</t>
  </si>
  <si>
    <t>Frederic Bates</t>
  </si>
  <si>
    <t>fredbdc@gmail.com</t>
  </si>
  <si>
    <t>2026573838</t>
  </si>
  <si>
    <t>1/4/2021</t>
  </si>
  <si>
    <t>I can't seem to cancel my Washington Sports Club membership.</t>
  </si>
  <si>
    <t>00024197</t>
  </si>
  <si>
    <t>500t000000eROCo</t>
  </si>
  <si>
    <t>Rachel Levitan</t>
  </si>
  <si>
    <t>2025493894</t>
  </si>
  <si>
    <t>1/5/2021</t>
  </si>
  <si>
    <t>Contact: Rachel Levitan
Email: rslevitan@gmail.com&lt;mailto:rslevitan@gmail.com&gt; ****ERROR: INVALID VALUE***
Phone: 2025493894
From: Rachel Levitan &lt;rslevitan@gmail.com&lt;mailto:rslevitan@gmail.com&gt;&gt; ****ERROR: INVALID VALUE***
Sent: Wednesday, December 30, 2020 12:27 PM
To: oag@dc.gov&lt;mailto:oag@dc.gov&gt;
Subject: Washington Sports Club
To Whom It May Concern,
Happy holidays. I'm writing in connection with my membership with the Washington Sports Club with the Silver Spring branch. I was a member for a number of years, and asked to discontinue my membership in March at the start of the pandemic. I was charged through the end of November when the WSC closed the club.
I was not reimbursed for months of membership from April to November 2020. Could you kindly advise if I may qualify to join any action that your office is taking against WSC?
Please feel free to reach out to me by phone or email.
Many thanks and best wishes for the New Year,
Rachel Levitan
202-549-3894
rslevitan@gmail.com&lt;mailt</t>
  </si>
  <si>
    <t>00024239</t>
  </si>
  <si>
    <t>500t000000eS7C2</t>
  </si>
  <si>
    <t>Anne Grambsch</t>
  </si>
  <si>
    <t>2023860278</t>
  </si>
  <si>
    <t>Contact: Anne Grambsch
Email:  grambsch.annee@gmail.com&lt;mailto:grambsch.annee@gmail.com&gt; ****ERROR: INVALID VALUE***
Phone:  2023860278
From: outlook_F9787C3865E42234@outlook.com &lt;outlook_F9787C3865E42234@outlook.com&gt; On Behalf Of outlook_F9787C3865E42234@outlook.com ****ERROR: INVALID VALUE***
Sent: Monday, December 21, 2020 2:02 PM
To: Protection, Consumer (OAG) &lt;consumer.protection@dc.gov&gt;
Subject: WSC charges during COVID-19 Shut down period
Details follow below:
On 3/1/2020:  Charge of $91.88 posted for full month of March.
On 4/1/2020:  Charge of $91.88 posted for full month of April.
WSC was closed on Mar. 22, 2020.  I believe I am owed a refund of $122.48 because the club was closed ($30.60 for the 10 days the club was closed in Mar. plus $91.88 for the full month of April when the club was closed).
Contact Information:
Email:  grambsch.annee@gmail.com&lt;mailto:grambsch.annee@gmail.com&gt; ****ERROR: INVALID VALUE***
Phone:  202-386-0278
WSC membership Number:
Currently Non-member,</t>
  </si>
  <si>
    <t>00024238</t>
  </si>
  <si>
    <t>500t000000eS6tB</t>
  </si>
  <si>
    <t>Jacques Edelin</t>
  </si>
  <si>
    <t>jzafied@yahoo.com</t>
  </si>
  <si>
    <t>1/20/2021</t>
  </si>
  <si>
    <t>Hello,_x000D_
_x000D_
I am filing a complaint as a former member of the Washington Sports Club.  The gym closed the 1st week in March 2020 due to the coronavirus, however the gym continued to bill me for an additional 10 months despite numerous attempts to cancel my membership from March-November 2020.  My gym is the one in Columbia Heights and I have not been there since February, yet my membership was finally cancelled in late November 2020.  I am happy that they finally cancelled my membership, however they still have not reimbursed me for the charges billed from March 2, 2020 - November 2, 2020.  The total amount is $724.96</t>
  </si>
  <si>
    <t>00024660</t>
  </si>
  <si>
    <t>500t000000fEoXk</t>
  </si>
  <si>
    <t>Nadine Kabbani</t>
  </si>
  <si>
    <t>nadine.kabbani@gmail.com</t>
  </si>
  <si>
    <t>2024318001</t>
  </si>
  <si>
    <t>1/21/2021</t>
  </si>
  <si>
    <t>Balance Gym</t>
  </si>
  <si>
    <t>Consumer Complaint about Balance Gym</t>
  </si>
  <si>
    <t>Summary of Complaint:_x000D_
I would like to file a complaint agains Balance Gym (Washington DC) for Fraudlent Charges exceeding $4,000 during the period of 2015-2020. Balance Gym has been charging my American Express Card (AMEX) membership charge for an account that was not established or authorized by me. Repeated attempts to contact Balance Gym over the past 2 months have resulted in No Response. _x000D_
_x000D_
Details of the complaint:_x000D_
In November of 2020 I noticed re-occuring charges on my American Express Card for a membership to Balance Gym (Capitol Hill, Washington DC). The re-occurring monthly charge ($69/mo.) date as far back as 2015. After reviewing my statements I have concluded that Balance Gym had activated without my knowledge or consent a previously frozen membership to Washington Sports Club (Capitol Hill). Moreover, I never received any information at the time of activation of the account or any other time from Balance Gym about membership or an account.  I NEVER attended Balance Gym</t>
  </si>
  <si>
    <t>00024695</t>
  </si>
  <si>
    <t>500t000000fFIkw</t>
  </si>
  <si>
    <t>Ryan Noble</t>
  </si>
  <si>
    <t>nobleryan70@gmail.com</t>
  </si>
  <si>
    <t>4436554181</t>
  </si>
  <si>
    <t>1/26/2021</t>
  </si>
  <si>
    <t>Attempted to canceled membership with Washington sports club and was continually charged.  I issued a charge back on my credit card and they are now demanding payment</t>
  </si>
  <si>
    <t>00024881</t>
  </si>
  <si>
    <t>500t000000frFH0</t>
  </si>
  <si>
    <t>Jared Green</t>
  </si>
  <si>
    <t>jaredlgreen@gmail.com</t>
  </si>
  <si>
    <t>9175140572</t>
  </si>
  <si>
    <t>1/28/2021</t>
  </si>
  <si>
    <t>Contact: Jared Green
Email: jaredlgreen@gmail.com&lt;mailto:jaredlgreen@gmail.com&gt; ****ERROR: INVALID VALUE***
Phone: 9175140572
From: Jared Green &lt;jaredlgreen@gmail.com&gt;
Sent: Saturday, January 23, 2021 11:11 PM
To: Protection, Consumer (OAG) &lt;consumer.protection@dc.gov&gt;
Subject: Gym mask violations (?)
Dear Mr. Racine,
I am a client of Washington Sports Club on 1835 Connecticut Ave NW.
During multiple visits I have seen guests not wearing masks on cardio machines and working out less than 6 feet from others.
I checked the latest guidelines on the DC.gov website, but it not clear whether mask are required *at all times* within a gym.
I noticed that Vida and Mint gyms state that they require masks at all times. I asked the front desk at WSC and they said their policy was not to enforce mask wearing on cardio machines.
Is this legal or safe? I imagine masks should required at all times in gyms, even on cardio machines.
Please advise. WSC seems to be doing absolute bare minimum to keep gues</t>
  </si>
  <si>
    <t>00024942</t>
  </si>
  <si>
    <t>500t000000g9GYZ</t>
  </si>
  <si>
    <t>David Warr</t>
  </si>
  <si>
    <t>davidewarr@gmail.com</t>
  </si>
  <si>
    <t>2022553614</t>
  </si>
  <si>
    <t>2/3/2021</t>
  </si>
  <si>
    <t>Contact: David Warr
Email: davidewarr@gmail.com&lt;mailto:davidewarr@gmail.com&gt; ****ERROR: INVALID VALUE***
Phone: 2022553614
From: David Warr &lt;davidewarr@gmail.com&gt;
Sent: Tuesday, February 2, 2021 4:38 PM
To: Protection, Consumer (OAG) &lt;consumer.protection@dc.gov&gt;
Subject: Washington Sports Club (WSC) Charges
To Whom it May Concern:
After cancelling my gym membership with Washington Sports Club (WSC), during the last week of February 2020, I was charged in March, July and twice in August, as indicated below in my American Express statement.  The August charges were credited.  However, the March and July charges were not.  I have contacted Washington Sports, in order to have these charges reversed, but have unsuccessful in getting the charges credited. The assistance of your Office is requested in helping me to receive credits for these two charges totaling $125.46.
Regards,
David E. Warr
5175 Macomb Street, NW
Washington, DC  20016
202 255-3614</t>
  </si>
  <si>
    <t>00025105</t>
  </si>
  <si>
    <t>500t000000gQN7R</t>
  </si>
  <si>
    <t>Crystal Okorie</t>
  </si>
  <si>
    <t>crystal.okorie@gmail.com</t>
  </si>
  <si>
    <t>2/8/2021</t>
  </si>
  <si>
    <t>Contact: Crystal Okorie
Email: crystal.okorie@gmail.com&lt;mailto:crystal.okorie@gmail.com&gt; ****ERROR: INVALID VALUE***
From: Crystal Okorie &lt;crystal.okorie@gmail.com&gt;
Sent: Saturday, February 6, 2021 2:45 PM
To: Protection, Consumer (OAG) &lt;consumer.protection@dc.gov&gt;
Subject: Washington Sports Club account charge
Hi,
My name is Crystal Okorie. I'm reaching out to you because I saw that you had made an order to Washington Sports Club not to charge consumers for services they would not be able to use. My account is currently over drawn because I tried mediating with Washington Sports Club over a 186.86 charge they made for the month of June and July even though I had informed them that I would be sheltering during covid and would like my account to stay frozen. Not only did they charge me for the two months, but the charged me a late fee and when I asked for the refund they refused and made me pay $10 to cancel. I tried working with my bank to recover the charges but they reversed the pro</t>
  </si>
  <si>
    <t>00025224</t>
  </si>
  <si>
    <t>500t000000golmR</t>
  </si>
  <si>
    <t>2/9/2021</t>
  </si>
  <si>
    <t>Citibank</t>
  </si>
  <si>
    <t>Consumer Complaint about Citibank</t>
  </si>
  <si>
    <t>Contact: Crystal Okorie
Email: crystal.okorie@gmail.com
From: Crystal Okorie &lt;crystal.okorie@gmail.com&gt;
Sent: Saturday, February 6, 2021 3:29 PM
To: Protection, Consumer (OAG) &lt;consumer.protection@dc.gov&gt;
Subject: Citibank
Hello,
I reached out earlier today to make a claim against Washington Sports Club and feel that I should also make a claim against the Citibank dispute center.
I’ve made my initial claim in December for charges that I made but did not receive any support. The dispute report was not inputted, I had to follow up 3 weeks later to have the dispute center formally make the report to refund me the charges for incomplete transactions that I did not receive and for the Washington Sports Club charge I did not authorize. While they did initiate a probationary credit for one of the charges, they failed to reach out to me about a number of the disputes I had filed. When I called to follow up, the suggested I appeal while claiming that the email address did not exist to appeal de</t>
  </si>
  <si>
    <t>00025277</t>
  </si>
  <si>
    <t>500t000000gpZPQ</t>
  </si>
  <si>
    <t>Dilara Orer</t>
  </si>
  <si>
    <t>dilara.orer@gmail.com</t>
  </si>
  <si>
    <t>2/17/2021</t>
  </si>
  <si>
    <t>Contact: Dilara Orer
Email: dilara.orer@gmail.com
-----Original Message-----
From: Dilara Orer &lt;dilara.orer@gmail.com&gt; 
Sent: Monday, February 15, 2021 8:24 AM
To: Protection, Consumer (OAG) &lt;consumer.protection@dc.gov&gt;
Subject: WSC nev cancelled my father’s gym membership
Hello,
I am writing to you today on behalf of my father, Resit Orer, who is 92, a DC resident, and isn’t great with technology.
He was a member of WSC Bethesda on Wisconsin Avenue for about 5 years.
When he was no longer able to go to the gym because of his trouble walking, my sister called and cancelled his member ship a little over a year ago, in 2019.
When I came to visit my parents some time later, I was going through their bills and saw that he was still being charged $44/mo.
My sister called and cancelled it again.
I was unable to visit my parents for almost a year due to the Covid-19 pandemic, and was unable to keep up with checking their bills.
I just went through them again and saw that my parents’ joint cr</t>
  </si>
  <si>
    <t>00025521</t>
  </si>
  <si>
    <t>500t000000hJcHg</t>
  </si>
  <si>
    <t>Andrew Martin</t>
  </si>
  <si>
    <t>drybrarian@gmail.com</t>
  </si>
  <si>
    <t>2/23/2021</t>
  </si>
  <si>
    <t>Washington Sports Club-Glover Park</t>
  </si>
  <si>
    <t>Consumer Complaint about Washington Sports Club-Glover Park</t>
  </si>
  <si>
    <t>Washington Sports Club failed to cancel my membership in April after I submitted a request on their website.</t>
  </si>
  <si>
    <t>00025688</t>
  </si>
  <si>
    <t>500t000000hSzwl</t>
  </si>
  <si>
    <t>Scott Gemperline</t>
  </si>
  <si>
    <t>scott.gemperline@gmail.com</t>
  </si>
  <si>
    <t>I've received numerous calls and text messages from staff at Washington Sports Club over the past year or so, who will share in a voicemail or text message that they have specials that I might be interested in. Voicemails have been from actual representatives on the phone, while today's call was a pre-recorded message saying that its a follow up from an email they sent me on specials to join the club. I have not received the stated email. I've asked numerous times to be removed from their list. Today's call, they blocked the caller ID (it will say "No Caller ID"), but when I see a voicemail appear, it shows a 202.332.0100 number associated. I cancelled my membership with the gym in 2013 and I was a victim of their fraudulent membership charging practices back in 2014 when they sent me to collections, which I worked with the DC Attorney General back in February 2020 regarding the second charge levied against the company. _x000D_
_x000D_
After today's call at 11:50am ET, I used the "Contact Us" form</t>
  </si>
  <si>
    <t>00025689</t>
  </si>
  <si>
    <t>500t000000hT1lg</t>
  </si>
  <si>
    <t>Emebet Girma</t>
  </si>
  <si>
    <t>etsigie@yahoo.com</t>
  </si>
  <si>
    <t>7032037571</t>
  </si>
  <si>
    <t>2/26/2021</t>
  </si>
  <si>
    <t>Hire Counsel</t>
  </si>
  <si>
    <t>Consumer Complaint about Hire Counsel</t>
  </si>
  <si>
    <t>Contact: Emebet Girma
Email: etsigie@yahoo.com&lt;mailto:etsigie@yahoo.com&gt; ****ERROR: INVALID VALUE***
Phone: 7032037571
From: E. Girma &lt;etsigie@yahoo.com&gt;
Sent: Wednesday, February 24, 2021 12:50 PM
To: Press, OAG (OAG) &lt;OAGPRESS@dc.gov&gt;; ATD OAG &lt;oag@dc.gov&gt;; Protection, Consumer (OAG) &lt;consumer.protection@dc.gov&gt;
Subject: Settlement proceeds will not be returned to employees
Hello,
    I and other temporary employees that worked for a staffing company-Hire Counsel in D.C. were told we were awarded thousands of dollars wrongfully taken from our checks. We called Hire Counsel and emailed and they will not tell us how to get the proceeds. We were told they will keep keep the money, if we don't claim it, but they will not give it to us. Can you tell me who could assist us in getting our money back from this company? Thank you.
Emebet Girma
703 203 7571
3876 9th St. SE
Washington D.C. 20032</t>
  </si>
  <si>
    <t>00025784</t>
  </si>
  <si>
    <t>500t000000hupGf</t>
  </si>
  <si>
    <t>Dave Chandrasekaran</t>
  </si>
  <si>
    <t>dave.chandrasekaran@gmail.com</t>
  </si>
  <si>
    <t>3/2/2021</t>
  </si>
  <si>
    <t>Contact:  Dave Chandrasekaran
Email: dave.chandrasekaran@gmail.com&lt;mailto:dave.chandrasekaran@gmail.com&gt; ****ERROR: INVALID VALUE***
From: Dave Chandrasekaran &lt;dave.chandrasekaran@gmail.com&gt;
Sent: Monday, March 1, 2021 4:18 PM
To: Protection, Consumer (OAG) &lt;consumer.protection@dc.gov&gt;
Subject: Issue with Washington Sports Club cancellation
Hi,
I am trying to get assistance with an issue I have with Washington Sports Club.  I read that the DC Attorney General's office has been doing a lot to protect consumers from WSC&lt;https://oag.dc.gov/release/ag-racine-sues-washington-sports-club-charging-gym&gt; and their unlawful and misleading billing practices.
I have had an issue with them for several years now, from them charging me for personal training sessions that never occurred to providing misinformation when they changed my membership category (resulting in an increase of ~$20 a month), to now not letting me find any way to cancel every since the pandemic started and they shut down last Mar</t>
  </si>
  <si>
    <t>00025886</t>
  </si>
  <si>
    <t>500t000000hxWBF</t>
  </si>
  <si>
    <t>Beth Antell</t>
  </si>
  <si>
    <t>beth.antell@gmail.com</t>
  </si>
  <si>
    <t>2024682384</t>
  </si>
  <si>
    <t>3/11/2021</t>
  </si>
  <si>
    <t>Subject: Consumer Complaint
I want to add the Glover park location of WSC to the lawsuit currently against the Dupont location. The machines are not far enough apart to comply with guidelines</t>
  </si>
  <si>
    <t>00026156</t>
  </si>
  <si>
    <t>500t000000iq0Ok</t>
  </si>
  <si>
    <t>Peter Torrez</t>
  </si>
  <si>
    <t>clarkt2009@yahoo.com</t>
  </si>
  <si>
    <t>2024593592</t>
  </si>
  <si>
    <t>3/15/2021</t>
  </si>
  <si>
    <t>Contact: Peter Torrez
Email: clarkt2009@yahoo.com
Phone: 2024593592
-----Original Message-----
From: Clark T &lt;clarkt2009@yahoo.com&gt; 
Sent: Wednesday, March 10, 2021 12:41 PM
To: Protection, Consumer (OAG) &lt;consumer.protection@dc.gov&gt;
Subject: Owed Refund From WSC - P Torrez
To whom it may concern:
I am owed refund total of $455.69 from WSC - DuPont Circle North.
February 18, 2020 signed up for 3 months personal training sessions at $400 per month.
March 16, 2020 - DC Mayor orders shutdown at 10pm.
Match 18, 2020, my VISA credit ending in 4259 was charged for $402.80.
April 2, 2020, my VISA credit card ending in 4259 was charged for $58.29 per month membership fee.
$402.80+58.28= Total $455.69.
Per my Bank recommendation,  cancelled my VISA credit card ending in 4259 to stop further charges.
I have not used WSC gyms or facilities since week before DC Shutdown March 2020.
Contacted WSC DuPont Circle North at 202-332-0100 regarding my membership; I was told to show up at actual location.</t>
  </si>
  <si>
    <t>00026227</t>
  </si>
  <si>
    <t>500t000000isGL2</t>
  </si>
  <si>
    <t>Julia Walter</t>
  </si>
  <si>
    <t>julia.walter000@gmail.com</t>
  </si>
  <si>
    <t>3/24/2021</t>
  </si>
  <si>
    <t>Contact: Julia Walter
Email: Julia.walter000@gmail.com&lt;mailto:Julia.walter000@gmail.com&gt; ****ERROR: INVALID VALUE***
From: Julia Walter &lt;julia.walter000@gmail.com&gt;
Sent: Saturday, March 20, 2021 8:21 AM
To: Protection, Consumer (OAG) &lt;consumer.protection@dc.gov&gt;
Subject: Unauthorized charges of WSC
Hello!
My name is Julia Walter and WSC has withdrawn money from my bank account even though I canceled my membership in March 2020. Please see member cancellation below.
They charged me 59.99$ in July 2020, 29.99$ in September 2020 and 14.99$ in November 2020 (exact dates see below).
I would like to claim my money back which would be 104.97$ in total. I would like to get a refund and not a credit for WSC or something like that.
I no longer live in America which is why a credit would be not useful.
My member ID at WSC used to be 999497176 and you can contact me through this email address (julia.walter000@gmail.com&lt;mailto:julia.walter000@gmail.com&gt;).
Thank you very much for your help!
Julia W</t>
  </si>
  <si>
    <t>00026467</t>
  </si>
  <si>
    <t>500t000000jP4Pw</t>
  </si>
  <si>
    <t>Matthew Schaible</t>
  </si>
  <si>
    <t>7732080234</t>
  </si>
  <si>
    <t>4/19/2021</t>
  </si>
  <si>
    <t>3504 13th Street LLC</t>
  </si>
  <si>
    <t>Consumer Complaint about 3504 13th Street LLC</t>
  </si>
  <si>
    <t>Contact: Matthew Schaible
Email: matthewschaible6@gmail.com&lt;mailto:matthewschaible6@gmail.com&gt; ****ERROR: INVALID VALUE***
Phone: 7732080234
From: Matt Schaible &lt;matthewschaible6@gmail.com&lt;mailto:matthewschaible6@gmail.com&gt;&gt; ****ERROR: INVALID VALUE***
Sent: Saturday, April 17, 2021 9:10 PM
To: Protection, Consumer (OAG) &lt;consumer.protection@dc.gov&lt;mailto:consumer.protection@dc.gov&gt;&gt;
Cc: Wiseman, Benjamin (OAG) &lt;benjamin.wiseman@dc.gov&lt;mailto:benjamin.wiseman@dc.gov&gt;&gt;
Subject: 3504 13th Street LLC &amp; Condominium Construction Defect Warranty
Hello Office of Consumer Protection and Assistant Attorney General Wiseman,
I am reaching out for your guidance and assistance regarding what I believe are Construction Defects in my condominium, performed by a developer - 3504 13th Street LLC, who has a history of violating DC law (And several years ago was fined $172,000 by your office).
I've attached a letter (pasted below) that details some of my questions and concerns.  I would really apprec</t>
  </si>
  <si>
    <t>00027101</t>
  </si>
  <si>
    <t>500t000000kfyoO</t>
  </si>
  <si>
    <t>Edward Thomas</t>
  </si>
  <si>
    <t>Eddie.thomas1620@gmail.com</t>
  </si>
  <si>
    <t>4/23/2021</t>
  </si>
  <si>
    <t>Washington sports club never notified me that the freeze of my account was turned off and continue to charge me during the hight of the pandemic. I contacted them to cancel my membership and the still charged me multiple times and a cancellation fee.</t>
  </si>
  <si>
    <t>00027255</t>
  </si>
  <si>
    <t>500t000000kLjuZ</t>
  </si>
  <si>
    <t>Madison Wehling</t>
  </si>
  <si>
    <t>madison.wehling@gmail.com</t>
  </si>
  <si>
    <t>4/26/2021</t>
  </si>
  <si>
    <t>Washington Sports Club (WSC) calls my phone from various blocked numbers around once a week. It is an automated message of a man or woman who is encouraging me to come back to their gym. I’m unable to block one particular number because it’ll either say no caller id, private number, or it’ll be a local 202 number. It also won’t allow me to answer the call — it simply has my phone ring once and then goes to voicemail. It is a nuisance. I was never even a member; I was a guest at the gym one time. The calls have been going on for years but in particular since the pandemic, it’s now almost weekly.</t>
  </si>
  <si>
    <t>00027324</t>
  </si>
  <si>
    <t>500t000000kLogF</t>
  </si>
  <si>
    <t>Anika Belinfanti</t>
  </si>
  <si>
    <t>abeli@verizon.net</t>
  </si>
  <si>
    <t>5/12/2021</t>
  </si>
  <si>
    <t>Anthem Bluecross Blueshield</t>
  </si>
  <si>
    <t>Consumer Complaint about Anthem Bluecross Blueshield</t>
  </si>
  <si>
    <t>Anthem Blue Cross Blue Shield refuses to pay for my annual OB/GYN exam.  The bill for the exam is $444.  The Affordable Care Act requires insurers to fully cover the cost of annual OB/GYN exams.   Anthem is claiming the doctor who administered the exam is out of network.   My exam was administered on 4.30.21.   As of today 5.12. 21, the doctor is listed as in network and a covered provider on Anthem's website.   I also contacted an Anthem representative Anne A. on 5.3.21 who verified that the doctor was covered and in network.  Anne A. also informed me that I was not responsible for any payment and Anthem would cover the entire cost of the exam as required by the ACA.  On 5.6.21, the doctor's office sent me a bill for $444 for the exam.  On 5.12.21, I contacted the doctor's billing office and Erika Hawkins explained that Anthem told the office that the doctor, Tsion Ketema, was out of network, not covered and I was 100% responsible for the bill.  On 5.12.21, I contacted Anthem again an</t>
  </si>
  <si>
    <t>00027812</t>
  </si>
  <si>
    <t>500t000000kMJ0Y</t>
  </si>
  <si>
    <t>Marissa Hatton</t>
  </si>
  <si>
    <t>marissahatton@gmail.com</t>
  </si>
  <si>
    <t>5/20/2021</t>
  </si>
  <si>
    <t>Washington Sports Clubs signed me up in February 2020 and promised to follow up via email to give me access credentials to their gym. They never sent an email and have never provided me with membership access or credentials, and I have never had access to the gym. Despite this, they have charged me the full membership amount of over $74.19 every month since Feb 2020. I have tried numerous times to contact the gym and to dispute the charges with my credit card. WSC does not answer emails or phone calls, but they defend against my credit company's attempts to dispute the charges. They have charged me over $1,100 to this point for a membership they never gave me and that I have tried numerous times throughout the pandemic to cancel or block.</t>
  </si>
  <si>
    <t>00028160</t>
  </si>
  <si>
    <t>500t000000kMYZd</t>
  </si>
  <si>
    <t>Ethan Stackpole</t>
  </si>
  <si>
    <t>ethan.stackpole@gmail.com</t>
  </si>
  <si>
    <t>6/6/2021</t>
  </si>
  <si>
    <t>I was a member of Washington Sports Clubs for several years. During the pandemic when they were closed they were charging me $18.99 per month. I called them repeatedly demanding they cancel my membership and they did not. I also submitted cancellations online as well. I didn’t get any charges from them for several months. Then in February of 2021, they started charging me again and changed my membership to “Elite” which costs $49.99 per month, because the branch of the gym I was going to (Connecticut Ave downtown) had permanently closed. They did not notify me of either of these changes and I thought that my subscription had already been cancelled.</t>
  </si>
  <si>
    <t>00028773</t>
  </si>
  <si>
    <t>500t000000kMyVJ</t>
  </si>
  <si>
    <t>Vanessa Salazar Hoyos</t>
  </si>
  <si>
    <t>venessasalazarhoyos@gmail.com</t>
  </si>
  <si>
    <t>7/13/2021</t>
  </si>
  <si>
    <t xml:space="preserve">Contact: Vanessa Salazar Hoyos
Email: venessasalazarhoyos@gmail.com&lt;mailto:venessasalazarhoyos@gmail.com&gt;
From: Vanessa Salazar Hoyos &lt;vanessasalazarhoyos@gmail.com&lt;mailto:vanessasalazarhoyos@gmail.com&gt;&gt; ****ERROR: INVALID VALUE***
Sent: Tuesday, July 13, 2021 11:52 AM
To: Marks, Lindsay (OAG) &lt;lindsay.marks@dc.gov&lt;mailto:lindsay.marks@dc.gov&gt;&gt;
Cc: TSIClaims@hcg.com&lt;mailto:TSIClaims@hcg.com&gt;; Protection, Consumer (OAG) &lt;consumer.protection@dc.gov&lt;mailto:consumer.protection@dc.gov&gt;&gt;
Subject: WSC case- Vanessa Salazar
Dear Lindsay,
I hope this email finds you well. I am contacting you regarding the lawsuit against WSC. I had a terrible experience with them and want to share with you the correspondence I had at the time with them (July 8, 2020). Their response was not helpful and they did not refund my money even when I tried to cancel. I would be very grateful if you can give me additional information about this process and if you know if there is anything I can do to fix this problem.
</t>
  </si>
  <si>
    <t>00029815</t>
  </si>
  <si>
    <t>500t000000kNyEe</t>
  </si>
  <si>
    <t>Nikola Ilic</t>
  </si>
  <si>
    <t>nikola.ilic777@gmail.com</t>
  </si>
  <si>
    <t>6179552891</t>
  </si>
  <si>
    <t>8/3/2021</t>
  </si>
  <si>
    <t>Washington Sports Club kept charging my account even though my membership has been canceled since December 2019. $954.62 of charges._x000D_
I've just noticed this.</t>
  </si>
  <si>
    <t>00030324</t>
  </si>
  <si>
    <t>500t000000oztZn</t>
  </si>
  <si>
    <t>Hayley Silverman</t>
  </si>
  <si>
    <t>hayley@hayley-silverman.com</t>
  </si>
  <si>
    <t>732-861-5234</t>
  </si>
  <si>
    <t>8/6/2021</t>
  </si>
  <si>
    <t>Tsintolas Realty Company</t>
  </si>
  <si>
    <t>Consumer Complaint about Tsintolas Realty Company</t>
  </si>
  <si>
    <t>My landlord withheld a portion of my security deposit for "cleaning" but the apartment was completely cleaned before I left and the things he listed as in need of cleaning didn't exist in the apartment (i.e. ceiling fans, ceiling tiles, etc.). When I looked online, I found several similar complaints in which he withheld all or a portion of the rent without cause.</t>
  </si>
  <si>
    <t>00030428</t>
  </si>
  <si>
    <t>500t000000p013b</t>
  </si>
  <si>
    <t>Julie Leven</t>
  </si>
  <si>
    <t>jlevenvln@gmail.com</t>
  </si>
  <si>
    <t>781-643-0346</t>
  </si>
  <si>
    <t>TSI Memberships</t>
  </si>
  <si>
    <t>Consumer Complaint about TSI Memberships</t>
  </si>
  <si>
    <t>This company TSI Memberships, previously known as Boston Sports Club, claimed a membership renewal letter was sent to my husband in April 2021.  The letter was NEVER received at our home, nor via ANY email address.  The company charged $828.00 to our Mastercard. Our dispute of the $828.00 charge to our Mastercard was submitted to Barclays Bank.  _x000D_
_x000D_
The Dispute Dept. at Barclays Bank, PO Box 8823 Wilmington DE 19899-8823, fax: 866.710.2693, contacted TSI Memberships, on our behalf.  TSI Memberships then generated the never received renewal letter, claiming automatic renewal for membership..  _x000D_
_x000D_
Now we are being charged again for membership to a club that does not exist!  The club my husband used is closed (https://www.wickedlocal.com/story/lexington-minuteman/2020/10/05/11-boston-sports-clubs-locations-abruptly-close/114625704/) AND due to COVID and my husband's compromised immune system, he can not attend ANY sports club/gym.  _x000D_
_x000D_
Please assist in bringing the terrible company TSI Me</t>
  </si>
  <si>
    <t>00030430</t>
  </si>
  <si>
    <t>500t000000p01K2</t>
  </si>
  <si>
    <t>Mike Delaney</t>
  </si>
  <si>
    <t>mikeytd@gmail.com</t>
  </si>
  <si>
    <t>9102006220</t>
  </si>
  <si>
    <t>8/25/2021</t>
  </si>
  <si>
    <t>Contact: Mike Delaney
Email: mikeytd@gmail.com&lt;mailto:mikeytd@gmail.com&gt;
Phone: 9102006220
From: Mike Delaney &lt;mikeytd@gmail.com&gt;
Sent: Wednesday, August 25, 2021 12:48 PM
To: Protection, Consumer (OAG) &lt;consumer.protection@dc.gov&gt;
Subject: Washington Sports Club/TSI, LLC overcharges and unsuccessful cancellation
To whom it may concern,
I wish to file a complaint and seek compensation from Washington Sports Club/Town Sports International, LLC for repeated overcharges before and during the pandemic shutdown as well as a failure to cancel my membership when asked.
Member: Michael Delaney
Phone: 910-200-6220
Email: mikeytd@gmail.com&lt;mailto:mikeytd@gmail.com&gt;
WSC Membership #: 322320855
WSC overcharged my account by different amounts on four types of occasions:
  1.  Increased monthly subscription fee before contract specifies
     *   Terms: month to month billing, $0 annual fee, $10 cancellation fee, $5 annual increase in monthly subscription fee
     *   Effective date of contract: 3/08</t>
  </si>
  <si>
    <t>00030905</t>
  </si>
  <si>
    <t>500t000000qMmCO</t>
  </si>
  <si>
    <t>Carolyne Banks</t>
  </si>
  <si>
    <t>cmbanks217@gmail.com</t>
  </si>
  <si>
    <t>3013679599</t>
  </si>
  <si>
    <t>9/1/2021</t>
  </si>
  <si>
    <t>I submitted my cancelation to Washginton Sports Club on 02/28/2019. The submission was approved by an employee  and I have a copy of the document. The club continued to charge me for membership  ($42.39) until I submitted another cancelation in January 2020.  I contacted the club and they said that while they had recieved the cancelation they didn't process it and so it was not valid and they could not refund me.</t>
  </si>
  <si>
    <t>00031121</t>
  </si>
  <si>
    <t>500t000000qMwWl</t>
  </si>
  <si>
    <t>Total</t>
  </si>
  <si>
    <t>LinkedEntityId</t>
  </si>
  <si>
    <t>Associated Docs</t>
  </si>
  <si>
    <t>Directory</t>
  </si>
  <si>
    <t>500r0000009xxUVAAY</t>
  </si>
  <si>
    <t>test</t>
  </si>
  <si>
    <t>SF_API_Version</t>
  </si>
  <si>
    <t>SF_JSON_DEBUG</t>
  </si>
  <si>
    <t>SF_DOWNLOAD_SNOTE</t>
  </si>
  <si>
    <t>SF_Latest_Version_Only</t>
  </si>
  <si>
    <t>Name</t>
  </si>
  <si>
    <t>Value</t>
  </si>
  <si>
    <t>SF_LinkedID_Column</t>
  </si>
  <si>
    <t>LinkedEntityTable</t>
  </si>
  <si>
    <t>Local_Relative_Directory_Column</t>
  </si>
  <si>
    <t>Local_Relative_Directory_Count_Column</t>
  </si>
  <si>
    <t>Global Settings</t>
  </si>
  <si>
    <t>Source Table Settings</t>
  </si>
  <si>
    <t>SF_Connection_Credentials</t>
  </si>
  <si>
    <t>SFDownloadCredentials.json</t>
  </si>
  <si>
    <t>v52.0</t>
  </si>
  <si>
    <t>Local_CDL_Worksheet_Name</t>
  </si>
  <si>
    <t>CDL List Table</t>
  </si>
  <si>
    <t>Content Version Table</t>
  </si>
  <si>
    <t>Local_CV_Worksheet_Name</t>
  </si>
  <si>
    <t>Local_CDL_Table_Name</t>
  </si>
  <si>
    <t>Local_CV_Table_Name</t>
  </si>
  <si>
    <t>CDLListTable</t>
  </si>
  <si>
    <t>ContentVersionTable</t>
  </si>
  <si>
    <t>SF_Linked_Worksheet_Name</t>
  </si>
  <si>
    <t>Linked Entity Table</t>
  </si>
  <si>
    <t>SF_Linked_Table_Name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</si>
</sst>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indexed="8"/>
      <name val="Calibri"/>
      <family val="2"/>
      <scheme val="minor"/>
    </font>
    <font>
      <sz val="18"/>
      <color rgb="FF56585B"/>
      <name val="Calibri"/>
      <family val="2"/>
    </font>
    <font>
      <sz val="12"/>
      <color rgb="FF56585B"/>
      <name val="Calibri"/>
      <family val="2"/>
    </font>
    <font>
      <b/>
      <sz val="12"/>
      <color rgb="FF56585B"/>
      <name val="Calibri"/>
      <family val="2"/>
    </font>
    <font>
      <sz val="12"/>
      <color rgb="FF000000"/>
      <name val="Calibri"/>
      <family val="2"/>
    </font>
    <font>
      <sz val="12"/>
      <color rgb="FF000000"/>
      <name val="Calibri"/>
      <family val="2"/>
    </font>
    <font>
      <u/>
      <sz val="11"/>
      <color theme="10"/>
      <name val="Calibri"/>
      <family val="2"/>
      <scheme val="minor"/>
    </font>
    <font>
      <b/>
      <sz val="18"/>
      <color indexed="8"/>
      <name val="Calibri"/>
      <family val="2"/>
      <scheme val="minor"/>
    </font>
    <font>
      <b/>
      <sz val="24"/>
      <color rgb="FF000000"/>
      <name val="Calibri"/>
      <family val="2"/>
    </font>
  </fonts>
  <fills count="7">
    <fill>
      <patternFill patternType="none"/>
    </fill>
    <fill>
      <patternFill patternType="gray125"/>
    </fill>
    <fill>
      <patternFill patternType="solid">
        <fgColor rgb="FFF9F9F7"/>
      </patternFill>
    </fill>
    <fill>
      <patternFill patternType="solid">
        <fgColor rgb="FFFFFFFF"/>
      </patternFill>
    </fill>
    <fill>
      <patternFill patternType="solid">
        <fgColor rgb="FFE9E8E5"/>
      </patternFill>
    </fill>
    <fill>
      <patternFill patternType="solid">
        <fgColor rgb="FFEAF5FC"/>
      </patternFill>
    </fill>
    <fill>
      <patternFill patternType="solid">
        <fgColor theme="4" tint="0.59999389629810485"/>
        <bgColor indexed="64"/>
      </patternFill>
    </fill>
  </fills>
  <borders count="20">
    <border>
      <left/>
      <right/>
      <top/>
      <bottom/>
      <diagonal/>
    </border>
    <border>
      <left/>
      <right/>
      <top/>
      <bottom style="thin">
        <color rgb="FFD5D3D1"/>
      </bottom>
      <diagonal/>
    </border>
    <border>
      <left style="thin">
        <color rgb="FFD5D3D1"/>
      </left>
      <right style="thin">
        <color rgb="FFD5D3D1"/>
      </right>
      <top style="thin">
        <color rgb="FFD5D3D1"/>
      </top>
      <bottom style="thin">
        <color rgb="FFD5D3D1"/>
      </bottom>
      <diagonal/>
    </border>
    <border>
      <left style="thin">
        <color rgb="FFD5D3D1"/>
      </left>
      <right/>
      <top style="thin">
        <color rgb="FFD5D3D1"/>
      </top>
      <bottom style="thin">
        <color rgb="FFD5D3D1"/>
      </bottom>
      <diagonal/>
    </border>
    <border>
      <left/>
      <right style="thin">
        <color rgb="FFD5D3D1"/>
      </right>
      <top style="thin">
        <color rgb="FFD5D3D1"/>
      </top>
      <bottom style="thin">
        <color rgb="FFD5D3D1"/>
      </bottom>
      <diagonal/>
    </border>
    <border>
      <left/>
      <right/>
      <top/>
      <bottom style="thin">
        <color rgb="FF8E9297"/>
      </bottom>
      <diagonal/>
    </border>
    <border>
      <left/>
      <right style="thin">
        <color rgb="FFD5D3D1"/>
      </right>
      <top/>
      <bottom style="thin">
        <color rgb="FFD5D3D1"/>
      </bottom>
      <diagonal/>
    </border>
    <border>
      <left style="thin">
        <color rgb="FFD5D3D1"/>
      </left>
      <right style="thin">
        <color rgb="FFD5D3D1"/>
      </right>
      <top/>
      <bottom style="thin">
        <color rgb="FFD5D3D1"/>
      </bottom>
      <diagonal/>
    </border>
    <border>
      <left style="thin">
        <color rgb="FFD5D3D1"/>
      </left>
      <right/>
      <top/>
      <bottom style="thin">
        <color rgb="FFD5D3D1"/>
      </bottom>
      <diagonal/>
    </border>
    <border>
      <left/>
      <right style="thin">
        <color rgb="FFD5D3D1"/>
      </right>
      <top style="thin">
        <color rgb="FFD5D3D1"/>
      </top>
      <bottom/>
      <diagonal/>
    </border>
    <border>
      <left style="thin">
        <color rgb="FFD5D3D1"/>
      </left>
      <right style="thin">
        <color rgb="FFD5D3D1"/>
      </right>
      <top style="thin">
        <color rgb="FFD5D3D1"/>
      </top>
      <bottom/>
      <diagonal/>
    </border>
    <border>
      <left style="thin">
        <color rgb="FFD5D3D1"/>
      </left>
      <right/>
      <top style="thin">
        <color rgb="FFD5D3D1"/>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0" fontId="6" fillId="0" borderId="0" applyNumberFormat="0" applyFill="0" applyBorder="0" applyAlignment="0" applyProtection="0"/>
  </cellStyleXfs>
  <cellXfs count="49">
    <xf numFmtId="0" fontId="0" fillId="0" borderId="0" xfId="0"/>
    <xf numFmtId="0" fontId="5" fillId="3" borderId="2" xfId="0" applyNumberFormat="1" applyFont="1" applyFill="1" applyBorder="1" applyAlignment="1">
      <alignment horizontal="left" vertical="top"/>
    </xf>
    <xf numFmtId="0" fontId="5" fillId="3" borderId="10" xfId="0" applyNumberFormat="1" applyFont="1" applyFill="1" applyBorder="1" applyAlignment="1">
      <alignment horizontal="left" vertical="top"/>
    </xf>
    <xf numFmtId="0" fontId="0" fillId="2" borderId="0" xfId="0" applyFill="1" applyAlignment="1">
      <alignment horizontal="left" vertical="top"/>
    </xf>
    <xf numFmtId="0" fontId="1" fillId="2" borderId="0" xfId="0" applyFont="1" applyFill="1" applyAlignment="1">
      <alignment horizontal="left" vertical="top"/>
    </xf>
    <xf numFmtId="0" fontId="2" fillId="2" borderId="0" xfId="0" applyFont="1" applyFill="1" applyAlignment="1">
      <alignment horizontal="left" vertical="top"/>
    </xf>
    <xf numFmtId="0" fontId="0" fillId="2" borderId="1" xfId="0" applyFill="1" applyBorder="1" applyAlignment="1">
      <alignment horizontal="left" vertical="top"/>
    </xf>
    <xf numFmtId="0" fontId="0" fillId="3" borderId="0" xfId="0" applyFill="1" applyAlignment="1">
      <alignment horizontal="left" vertical="top"/>
    </xf>
    <xf numFmtId="0" fontId="3" fillId="3" borderId="0" xfId="0" applyFont="1" applyFill="1" applyAlignment="1">
      <alignment horizontal="left" vertical="top"/>
    </xf>
    <xf numFmtId="0" fontId="4" fillId="3" borderId="0" xfId="0" applyFont="1" applyFill="1" applyAlignment="1">
      <alignment horizontal="left" vertical="top"/>
    </xf>
    <xf numFmtId="0" fontId="3" fillId="4" borderId="7" xfId="0" applyFont="1" applyFill="1" applyBorder="1" applyAlignment="1">
      <alignment horizontal="left" vertical="top"/>
    </xf>
    <xf numFmtId="0" fontId="5" fillId="5" borderId="2" xfId="0" applyNumberFormat="1" applyFont="1" applyFill="1" applyBorder="1" applyAlignment="1">
      <alignment horizontal="left" vertical="top"/>
    </xf>
    <xf numFmtId="0" fontId="0" fillId="3" borderId="5" xfId="0" applyFill="1" applyBorder="1" applyAlignment="1">
      <alignment horizontal="left" vertical="top"/>
    </xf>
    <xf numFmtId="0" fontId="0" fillId="0" borderId="0" xfId="0" applyAlignment="1">
      <alignment horizontal="left" vertical="top"/>
    </xf>
    <xf numFmtId="0" fontId="0" fillId="2" borderId="0" xfId="0" applyFill="1" applyAlignment="1">
      <alignment horizontal="left" vertical="top" wrapText="1"/>
    </xf>
    <xf numFmtId="0" fontId="1" fillId="2" borderId="0" xfId="0" applyFont="1" applyFill="1" applyAlignment="1">
      <alignment horizontal="left" vertical="top" wrapText="1"/>
    </xf>
    <xf numFmtId="0" fontId="2" fillId="2" borderId="0" xfId="0" applyFont="1" applyFill="1" applyAlignment="1">
      <alignment horizontal="left" vertical="top" wrapText="1"/>
    </xf>
    <xf numFmtId="0" fontId="0" fillId="2" borderId="1" xfId="0" applyFill="1" applyBorder="1" applyAlignment="1">
      <alignment horizontal="left" vertical="top" wrapText="1"/>
    </xf>
    <xf numFmtId="0" fontId="0" fillId="3" borderId="0" xfId="0" applyFill="1" applyAlignment="1">
      <alignment horizontal="left" vertical="top" wrapText="1"/>
    </xf>
    <xf numFmtId="0" fontId="3" fillId="3" borderId="0" xfId="0" applyFont="1" applyFill="1" applyAlignment="1">
      <alignment horizontal="left" vertical="top" wrapText="1"/>
    </xf>
    <xf numFmtId="0" fontId="4" fillId="3" borderId="0" xfId="0" applyFont="1" applyFill="1" applyAlignment="1">
      <alignment horizontal="left" vertical="top" wrapText="1"/>
    </xf>
    <xf numFmtId="0" fontId="3" fillId="4" borderId="7" xfId="0" applyFont="1" applyFill="1" applyBorder="1" applyAlignment="1">
      <alignment horizontal="left" vertical="top" wrapText="1"/>
    </xf>
    <xf numFmtId="0" fontId="5" fillId="3" borderId="2" xfId="0" applyNumberFormat="1" applyFont="1" applyFill="1" applyBorder="1" applyAlignment="1">
      <alignment horizontal="left" vertical="top" wrapText="1"/>
    </xf>
    <xf numFmtId="0" fontId="5" fillId="3" borderId="10" xfId="0" applyNumberFormat="1" applyFont="1" applyFill="1" applyBorder="1" applyAlignment="1">
      <alignment horizontal="left" vertical="top" wrapText="1"/>
    </xf>
    <xf numFmtId="0" fontId="5" fillId="5" borderId="2" xfId="0" applyNumberFormat="1" applyFont="1" applyFill="1" applyBorder="1" applyAlignment="1">
      <alignment horizontal="left" vertical="top" wrapText="1"/>
    </xf>
    <xf numFmtId="0" fontId="0" fillId="3" borderId="5" xfId="0" applyFill="1" applyBorder="1" applyAlignment="1">
      <alignment horizontal="left" vertical="top" wrapText="1"/>
    </xf>
    <xf numFmtId="0" fontId="0" fillId="0" borderId="0" xfId="0" applyAlignment="1">
      <alignment horizontal="left" vertical="top" wrapText="1"/>
    </xf>
    <xf numFmtId="0" fontId="5" fillId="3" borderId="4" xfId="0" applyNumberFormat="1" applyFont="1" applyFill="1" applyBorder="1" applyAlignment="1">
      <alignment horizontal="left" vertical="top"/>
    </xf>
    <xf numFmtId="0" fontId="5" fillId="3" borderId="3" xfId="0" applyNumberFormat="1" applyFont="1" applyFill="1" applyBorder="1" applyAlignment="1">
      <alignment horizontal="left" vertical="top"/>
    </xf>
    <xf numFmtId="0" fontId="5" fillId="3" borderId="9" xfId="0" applyNumberFormat="1" applyFont="1" applyFill="1" applyBorder="1" applyAlignment="1">
      <alignment horizontal="left" vertical="top"/>
    </xf>
    <xf numFmtId="0" fontId="5" fillId="3" borderId="11" xfId="0" applyNumberFormat="1" applyFont="1" applyFill="1" applyBorder="1" applyAlignment="1">
      <alignment horizontal="left" vertical="top"/>
    </xf>
    <xf numFmtId="0" fontId="3" fillId="4" borderId="6" xfId="0" applyFont="1" applyFill="1" applyBorder="1" applyAlignment="1">
      <alignment horizontal="left" vertical="top"/>
    </xf>
    <xf numFmtId="0" fontId="3" fillId="4" borderId="8" xfId="0" applyFont="1" applyFill="1" applyBorder="1" applyAlignment="1">
      <alignment horizontal="left" vertical="top"/>
    </xf>
    <xf numFmtId="0" fontId="3" fillId="5" borderId="3" xfId="0" applyFont="1" applyFill="1" applyBorder="1" applyAlignment="1">
      <alignment horizontal="left" vertical="top"/>
    </xf>
    <xf numFmtId="0" fontId="6" fillId="3" borderId="3" xfId="1" applyNumberFormat="1" applyFill="1" applyBorder="1" applyAlignment="1">
      <alignment horizontal="left" vertical="top"/>
    </xf>
    <xf numFmtId="0" fontId="6" fillId="3" borderId="11" xfId="1" applyNumberFormat="1" applyFill="1" applyBorder="1" applyAlignment="1">
      <alignment horizontal="left" vertical="top"/>
    </xf>
    <xf numFmtId="0" fontId="0" fillId="0" borderId="12" xfId="0" applyBorder="1"/>
    <xf numFmtId="0" fontId="0" fillId="0" borderId="13" xfId="0" applyBorder="1"/>
    <xf numFmtId="0" fontId="0" fillId="0" borderId="14" xfId="0" applyBorder="1"/>
    <xf numFmtId="0" fontId="0" fillId="0" borderId="16" xfId="0" applyBorder="1"/>
    <xf numFmtId="0" fontId="0" fillId="0" borderId="13" xfId="0" applyBorder="1" applyAlignment="1">
      <alignment horizontal="center"/>
    </xf>
    <xf numFmtId="0" fontId="0" fillId="0" borderId="0" xfId="0" applyAlignment="1">
      <alignment horizontal="center"/>
    </xf>
    <xf numFmtId="0" fontId="7" fillId="0" borderId="0" xfId="0" applyFont="1"/>
    <xf numFmtId="0" fontId="0" fillId="0" borderId="17" xfId="0" applyBorder="1" applyAlignment="1" applyProtection="1">
      <alignment horizontal="center"/>
      <protection locked="0"/>
    </xf>
    <xf numFmtId="0" fontId="0" fillId="0" borderId="15" xfId="0" applyBorder="1" applyAlignment="1" applyProtection="1">
      <alignment horizontal="center"/>
      <protection locked="0"/>
    </xf>
    <xf numFmtId="0" fontId="0" fillId="0" borderId="15" xfId="0" applyBorder="1" applyProtection="1">
      <protection locked="0"/>
    </xf>
    <xf numFmtId="0" fontId="0" fillId="0" borderId="17" xfId="0" applyBorder="1" applyProtection="1">
      <protection locked="0"/>
    </xf>
    <xf numFmtId="0" fontId="7" fillId="6" borderId="18" xfId="0" applyFont="1" applyFill="1" applyBorder="1" applyAlignment="1">
      <alignment horizontal="center"/>
    </xf>
    <xf numFmtId="0" fontId="7" fillId="6" borderId="19" xfId="0" applyFont="1" applyFill="1" applyBorder="1" applyAlignment="1">
      <alignment horizontal="center"/>
    </xf>
  </cellXfs>
  <cellStyles count="2">
    <cellStyle name="Hyperlink" xfId="1" builtinId="8"/>
    <cellStyle name="Normal" xfId="0" builtinId="0"/>
  </cellStyles>
  <dxfs count="27">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top" textRotation="0" wrapText="0" indent="0" justifyLastLine="0" shrinkToFit="0" readingOrder="0"/>
      <border diagonalUp="0" diagonalDown="0" outline="0">
        <left style="thin">
          <color rgb="FFD5D3D1"/>
        </left>
        <right/>
        <top style="thin">
          <color rgb="FFD5D3D1"/>
        </top>
        <bottom style="thin">
          <color rgb="FFD5D3D1"/>
        </bottom>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top" textRotation="0" wrapText="0" indent="0" justifyLastLine="0" shrinkToFit="0" readingOrder="0"/>
      <border diagonalUp="0" diagonalDown="0">
        <left style="thin">
          <color rgb="FFD5D3D1"/>
        </left>
        <right/>
        <top style="thin">
          <color rgb="FFD5D3D1"/>
        </top>
        <bottom style="thin">
          <color rgb="FFD5D3D1"/>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top" textRotation="0" wrapText="0" indent="0" justifyLastLine="0" shrinkToFit="0" readingOrder="0"/>
      <border diagonalUp="0" diagonalDown="0" outline="0">
        <left style="thin">
          <color rgb="FFD5D3D1"/>
        </left>
        <right style="thin">
          <color rgb="FFD5D3D1"/>
        </right>
        <top style="thin">
          <color rgb="FFD5D3D1"/>
        </top>
        <bottom style="thin">
          <color rgb="FFD5D3D1"/>
        </bottom>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top" textRotation="0" wrapText="1" indent="0" justifyLastLine="0" shrinkToFit="0" readingOrder="0"/>
      <border diagonalUp="0" diagonalDown="0" outline="0">
        <left style="thin">
          <color rgb="FFD5D3D1"/>
        </left>
        <right style="thin">
          <color rgb="FFD5D3D1"/>
        </right>
        <top style="thin">
          <color rgb="FFD5D3D1"/>
        </top>
        <bottom style="thin">
          <color rgb="FFD5D3D1"/>
        </bottom>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top" textRotation="0" wrapText="0" indent="0" justifyLastLine="0" shrinkToFit="0" readingOrder="0"/>
      <border diagonalUp="0" diagonalDown="0" outline="0">
        <left style="thin">
          <color rgb="FFD5D3D1"/>
        </left>
        <right style="thin">
          <color rgb="FFD5D3D1"/>
        </right>
        <top style="thin">
          <color rgb="FFD5D3D1"/>
        </top>
        <bottom style="thin">
          <color rgb="FFD5D3D1"/>
        </bottom>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top" textRotation="0" wrapText="0" indent="0" justifyLastLine="0" shrinkToFit="0" readingOrder="0"/>
      <border diagonalUp="0" diagonalDown="0" outline="0">
        <left style="thin">
          <color rgb="FFD5D3D1"/>
        </left>
        <right style="thin">
          <color rgb="FFD5D3D1"/>
        </right>
        <top style="thin">
          <color rgb="FFD5D3D1"/>
        </top>
        <bottom style="thin">
          <color rgb="FFD5D3D1"/>
        </bottom>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top" textRotation="0" wrapText="0" indent="0" justifyLastLine="0" shrinkToFit="0" readingOrder="0"/>
      <border diagonalUp="0" diagonalDown="0" outline="0">
        <left style="thin">
          <color rgb="FFD5D3D1"/>
        </left>
        <right style="thin">
          <color rgb="FFD5D3D1"/>
        </right>
        <top style="thin">
          <color rgb="FFD5D3D1"/>
        </top>
        <bottom style="thin">
          <color rgb="FFD5D3D1"/>
        </bottom>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top" textRotation="0" wrapText="0" indent="0" justifyLastLine="0" shrinkToFit="0" readingOrder="0"/>
      <border diagonalUp="0" diagonalDown="0" outline="0">
        <left style="thin">
          <color rgb="FFD5D3D1"/>
        </left>
        <right style="thin">
          <color rgb="FFD5D3D1"/>
        </right>
        <top style="thin">
          <color rgb="FFD5D3D1"/>
        </top>
        <bottom style="thin">
          <color rgb="FFD5D3D1"/>
        </bottom>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top" textRotation="0" wrapText="0" indent="0" justifyLastLine="0" shrinkToFit="0" readingOrder="0"/>
      <border diagonalUp="0" diagonalDown="0" outline="0">
        <left style="thin">
          <color rgb="FFD5D3D1"/>
        </left>
        <right style="thin">
          <color rgb="FFD5D3D1"/>
        </right>
        <top style="thin">
          <color rgb="FFD5D3D1"/>
        </top>
        <bottom style="thin">
          <color rgb="FFD5D3D1"/>
        </bottom>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top" textRotation="0" wrapText="0" indent="0" justifyLastLine="0" shrinkToFit="0" readingOrder="0"/>
      <border diagonalUp="0" diagonalDown="0" outline="0">
        <left/>
        <right style="thin">
          <color rgb="FFD5D3D1"/>
        </right>
        <top style="thin">
          <color rgb="FFD5D3D1"/>
        </top>
        <bottom style="thin">
          <color rgb="FFD5D3D1"/>
        </bottom>
      </border>
    </dxf>
    <dxf>
      <border outline="0">
        <top style="thin">
          <color rgb="FFD5D3D1"/>
        </top>
      </border>
    </dxf>
    <dxf>
      <border outline="0">
        <left style="thin">
          <color rgb="FFD5D3D1"/>
        </left>
        <right style="thin">
          <color rgb="FFD5D3D1"/>
        </right>
        <top style="thin">
          <color rgb="FFD5D3D1"/>
        </top>
        <bottom style="thin">
          <color rgb="FFD5D3D1"/>
        </bottom>
      </border>
    </dxf>
    <dxf>
      <font>
        <b val="0"/>
        <i val="0"/>
        <strike val="0"/>
        <condense val="0"/>
        <extend val="0"/>
        <outline val="0"/>
        <shadow val="0"/>
        <u val="none"/>
        <vertAlign val="baseline"/>
        <sz val="12"/>
        <color rgb="FF000000"/>
        <name val="Calibri"/>
        <family val="2"/>
        <scheme val="none"/>
      </font>
      <fill>
        <patternFill patternType="solid">
          <fgColor rgb="FF000000"/>
          <bgColor rgb="FFFFFFFF"/>
        </patternFill>
      </fill>
      <alignment horizontal="left" vertical="top" textRotation="0" wrapText="0" indent="0" justifyLastLine="0" shrinkToFit="0" readingOrder="0"/>
    </dxf>
    <dxf>
      <border outline="0">
        <bottom style="thin">
          <color rgb="FFD5D3D1"/>
        </bottom>
      </border>
    </dxf>
    <dxf>
      <font>
        <b/>
        <i val="0"/>
        <strike val="0"/>
        <condense val="0"/>
        <extend val="0"/>
        <outline val="0"/>
        <shadow val="0"/>
        <u val="none"/>
        <vertAlign val="baseline"/>
        <sz val="12"/>
        <color rgb="FF56585B"/>
        <name val="Calibri"/>
        <family val="2"/>
        <scheme val="none"/>
      </font>
      <fill>
        <patternFill patternType="solid">
          <fgColor indexed="64"/>
          <bgColor rgb="FFE9E8E5"/>
        </patternFill>
      </fill>
      <alignment horizontal="left" vertical="top" textRotation="0" indent="0" justifyLastLine="0" shrinkToFit="0" readingOrder="0"/>
      <border diagonalUp="0" diagonalDown="0" outline="0">
        <left style="thin">
          <color rgb="FFD5D3D1"/>
        </left>
        <right style="thin">
          <color rgb="FFD5D3D1"/>
        </right>
        <top/>
        <bottom/>
      </border>
    </dxf>
    <dxf>
      <border diagonalUp="0" diagonalDown="0" outline="0">
        <left style="thin">
          <color indexed="64"/>
        </left>
        <right/>
        <top style="thin">
          <color indexed="64"/>
        </top>
        <bottom style="thin">
          <color indexed="64"/>
        </bottom>
      </border>
      <protection locked="0" hidden="0"/>
    </dxf>
    <dxf>
      <border diagonalUp="0" diagonalDown="0" outline="0">
        <left/>
        <right style="thin">
          <color indexed="64"/>
        </right>
        <top style="thin">
          <color indexed="64"/>
        </top>
        <bottom style="thin">
          <color indexed="64"/>
        </bottom>
      </border>
    </dxf>
    <dxf>
      <border>
        <top style="thin">
          <color indexed="64"/>
        </top>
      </border>
    </dxf>
    <dxf>
      <border diagonalUp="0" diagonalDown="0">
        <left style="medium">
          <color theme="9" tint="-0.499984740745262"/>
        </left>
        <right style="medium">
          <color theme="9" tint="-0.499984740745262"/>
        </right>
        <top style="medium">
          <color theme="9" tint="-0.499984740745262"/>
        </top>
        <bottom style="medium">
          <color theme="9" tint="-0.499984740745262"/>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protection locked="0" hidden="0"/>
    </dxf>
    <dxf>
      <border diagonalUp="0" diagonalDown="0" outline="0">
        <left/>
        <right style="thin">
          <color indexed="64"/>
        </right>
        <top style="thin">
          <color indexed="64"/>
        </top>
        <bottom style="thin">
          <color indexed="64"/>
        </bottom>
      </border>
    </dxf>
    <dxf>
      <border>
        <top style="thin">
          <color indexed="64"/>
        </top>
      </border>
    </dxf>
    <dxf>
      <border diagonalUp="0" diagonalDown="0">
        <left style="medium">
          <color theme="9" tint="-0.499984740745262"/>
        </left>
        <right style="medium">
          <color theme="9" tint="-0.499984740745262"/>
        </right>
        <top style="medium">
          <color theme="9" tint="-0.499984740745262"/>
        </top>
        <bottom style="medium">
          <color theme="9" tint="-0.499984740745262"/>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1104900</xdr:colOff>
          <xdr:row>16</xdr:row>
          <xdr:rowOff>19050</xdr:rowOff>
        </xdr:from>
        <xdr:to>
          <xdr:col>4</xdr:col>
          <xdr:colOff>1457325</xdr:colOff>
          <xdr:row>20</xdr:row>
          <xdr:rowOff>9525</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000-0000010C01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2400" b="1" i="0" u="none" strike="noStrike" baseline="0">
                  <a:solidFill>
                    <a:srgbClr val="000000"/>
                  </a:solidFill>
                  <a:latin typeface="Calibri"/>
                  <a:cs typeface="Calibri"/>
                </a:rPr>
                <a:t>Download Files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7E67DB3C-8C96-4720-8844-8C8132A5C32D}" name="SFDOWNLOAD_GLOBALPARAMS" displayName="SFDOWNLOAD_GLOBALPARAMS" ref="B3:C8" totalsRowShown="0" headerRowDxfId="26" headerRowBorderDxfId="25" tableBorderDxfId="24" totalsRowBorderDxfId="23">
  <autoFilter ref="B3:C8" xr:uid="{7E67DB3C-8C96-4720-8844-8C8132A5C32D}"/>
  <tableColumns count="2">
    <tableColumn id="1" xr3:uid="{40B1474A-638B-48AC-B836-926984BAB622}" name="Name" dataDxfId="22"/>
    <tableColumn id="2" xr3:uid="{8BA3A2E8-135D-4EF9-B233-F621DF5770EF}" name="Value" dataDxfId="21"/>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A6FCE23C-46FA-453F-8EA9-8839849410E2}" name="SFDOWNLOAD_SOURCESETTINGS" displayName="SFDOWNLOAD_SOURCESETTINGS" ref="E3:F12" totalsRowShown="0" headerRowDxfId="20" headerRowBorderDxfId="19" tableBorderDxfId="18" totalsRowBorderDxfId="17">
  <autoFilter ref="E3:F12" xr:uid="{A6FCE23C-46FA-453F-8EA9-8839849410E2}"/>
  <tableColumns count="2">
    <tableColumn id="1" xr3:uid="{3FE56B54-256A-4DC2-8BFA-C2660910EC66}" name="Name" dataDxfId="16"/>
    <tableColumn id="2" xr3:uid="{4070E763-25DD-402F-9C4A-BEC0CC92A6AE}" name="Value" dataDxfId="15"/>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D0D5EB7-5CCE-4575-A641-6AFBD783A8B1}" name="LinkedEntityTable" displayName="LinkedEntityTable" ref="A1:B2" totalsRowShown="0">
  <autoFilter ref="A1:B2" xr:uid="{FD0D5EB7-5CCE-4575-A641-6AFBD783A8B1}"/>
  <tableColumns count="2">
    <tableColumn id="1" xr3:uid="{BADB415F-6916-498C-9160-1F0125F6960A}" name="Directory"/>
    <tableColumn id="2" xr3:uid="{142DE96C-E812-4BF7-8323-B38A895F87E0}" name="LinkedEntityId"/>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6D27F56-F9B0-433B-8187-9F9339725BF2}" name="DiscoveryTable5" displayName="DiscoveryTable5" ref="A17:J370" totalsRowShown="0" headerRowDxfId="14" dataDxfId="12" headerRowBorderDxfId="13" tableBorderDxfId="11" totalsRowBorderDxfId="10">
  <autoFilter ref="A17:J370" xr:uid="{25E8C716-B19A-48C7-91A0-08B86DE86D71}">
    <filterColumn colId="8">
      <filters>
        <filter val="1"/>
        <filter val="10"/>
        <filter val="15"/>
        <filter val="2"/>
        <filter val="3"/>
        <filter val="4"/>
        <filter val="5"/>
        <filter val="6"/>
        <filter val="7"/>
      </filters>
    </filterColumn>
  </autoFilter>
  <sortState xmlns:xlrd2="http://schemas.microsoft.com/office/spreadsheetml/2017/richdata2" ref="A18:J370">
    <sortCondition ref="H17:H370"/>
  </sortState>
  <tableColumns count="10">
    <tableColumn id="1" xr3:uid="{2E8BF135-BC81-44A1-9364-0B8CF4BD36DC}" name="Contact Name" dataDxfId="9"/>
    <tableColumn id="3" xr3:uid="{5A695FC5-E43B-4A16-8222-B23294197E75}" name="Contact: Email" dataDxfId="8"/>
    <tableColumn id="4" xr3:uid="{B2BDE041-E68B-455C-A758-F63D073440B2}" name="Contact: Phone" dataDxfId="7"/>
    <tableColumn id="5" xr3:uid="{752928E9-6E14-4A86-B2CC-A74F2875414E}" name="Opened Date" dataDxfId="6"/>
    <tableColumn id="6" xr3:uid="{2FC52A1F-9FDD-430E-BD35-9D5DDBA6E0DF}" name="Business Complained About" dataDxfId="5"/>
    <tableColumn id="7" xr3:uid="{A8A1B119-B267-4566-849A-7C8740FD9D07}" name="Subject" dataDxfId="4"/>
    <tableColumn id="8" xr3:uid="{6C2A2CF7-034E-40E9-AFFF-8E184F31579A}" name="Description" dataDxfId="3"/>
    <tableColumn id="9" xr3:uid="{FDFC7EED-839F-46D2-BC1B-57474E0FFF03}" name="Case Number" dataDxfId="2"/>
    <tableColumn id="11" xr3:uid="{32274F5A-A55E-4319-9B87-109E392C242E}" name="Associated Docs" dataDxfId="1">
      <calculatedColumnFormula>HYPERLINK(DiscoveryTable5[[#This Row],[Case Number]],COUNTIF(#REF!,DiscoveryTable5[[#This Row],[Case Number]]))</calculatedColumnFormula>
    </tableColumn>
    <tableColumn id="10" xr3:uid="{B54E5A59-5BFD-49F6-B824-FAE221D08677}" name="Case ID" dataDxfId="0"/>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999EF-AC59-48F5-98AE-873CA5588E03}">
  <sheetPr codeName="SFDOWNLOADParameters"/>
  <dimension ref="B1:F12"/>
  <sheetViews>
    <sheetView showGridLines="0" tabSelected="1" workbookViewId="0">
      <selection activeCell="F10" sqref="F10"/>
    </sheetView>
  </sheetViews>
  <sheetFormatPr defaultRowHeight="15" x14ac:dyDescent="0.25"/>
  <cols>
    <col min="1" max="1" width="2.7109375" customWidth="1"/>
    <col min="2" max="2" width="34.85546875" customWidth="1"/>
    <col min="3" max="3" width="34.28515625" style="41" customWidth="1"/>
    <col min="4" max="4" width="2.42578125" customWidth="1"/>
    <col min="5" max="5" width="38.7109375" customWidth="1"/>
    <col min="6" max="6" width="34.140625" customWidth="1"/>
  </cols>
  <sheetData>
    <row r="1" spans="2:6" ht="15.75" thickBot="1" x14ac:dyDescent="0.3"/>
    <row r="2" spans="2:6" s="42" customFormat="1" ht="24" thickBot="1" x14ac:dyDescent="0.4">
      <c r="B2" s="47" t="s">
        <v>2144</v>
      </c>
      <c r="C2" s="48"/>
      <c r="E2" s="47" t="s">
        <v>2145</v>
      </c>
      <c r="F2" s="48"/>
    </row>
    <row r="3" spans="2:6" x14ac:dyDescent="0.25">
      <c r="B3" s="36" t="s">
        <v>2138</v>
      </c>
      <c r="C3" s="40" t="s">
        <v>2139</v>
      </c>
      <c r="E3" s="36" t="s">
        <v>2138</v>
      </c>
      <c r="F3" s="37" t="s">
        <v>2139</v>
      </c>
    </row>
    <row r="4" spans="2:6" x14ac:dyDescent="0.25">
      <c r="B4" s="38" t="s">
        <v>2146</v>
      </c>
      <c r="C4" s="44" t="s">
        <v>2147</v>
      </c>
      <c r="E4" s="38" t="s">
        <v>2159</v>
      </c>
      <c r="F4" s="45" t="s">
        <v>2141</v>
      </c>
    </row>
    <row r="5" spans="2:6" x14ac:dyDescent="0.25">
      <c r="B5" s="38" t="s">
        <v>2134</v>
      </c>
      <c r="C5" s="44" t="s">
        <v>2148</v>
      </c>
      <c r="E5" s="38" t="s">
        <v>2153</v>
      </c>
      <c r="F5" s="45" t="s">
        <v>2155</v>
      </c>
    </row>
    <row r="6" spans="2:6" x14ac:dyDescent="0.25">
      <c r="B6" s="38" t="s">
        <v>2135</v>
      </c>
      <c r="C6" s="44" t="b">
        <v>0</v>
      </c>
      <c r="E6" s="38" t="s">
        <v>2154</v>
      </c>
      <c r="F6" s="45" t="s">
        <v>2156</v>
      </c>
    </row>
    <row r="7" spans="2:6" x14ac:dyDescent="0.25">
      <c r="B7" s="38" t="s">
        <v>2136</v>
      </c>
      <c r="C7" s="44" t="b">
        <v>1</v>
      </c>
      <c r="E7" s="38" t="s">
        <v>2140</v>
      </c>
      <c r="F7" s="45" t="s">
        <v>2129</v>
      </c>
    </row>
    <row r="8" spans="2:6" x14ac:dyDescent="0.25">
      <c r="B8" s="39" t="s">
        <v>2137</v>
      </c>
      <c r="C8" s="43" t="b">
        <v>1</v>
      </c>
      <c r="E8" s="38" t="s">
        <v>2142</v>
      </c>
      <c r="F8" s="45" t="s">
        <v>2131</v>
      </c>
    </row>
    <row r="9" spans="2:6" x14ac:dyDescent="0.25">
      <c r="E9" s="39" t="s">
        <v>2143</v>
      </c>
      <c r="F9" s="46" t="s">
        <v>2130</v>
      </c>
    </row>
    <row r="10" spans="2:6" x14ac:dyDescent="0.25">
      <c r="E10" s="38" t="s">
        <v>2157</v>
      </c>
      <c r="F10" s="45" t="s">
        <v>2158</v>
      </c>
    </row>
    <row r="11" spans="2:6" x14ac:dyDescent="0.25">
      <c r="E11" s="38" t="s">
        <v>2149</v>
      </c>
      <c r="F11" s="45" t="s">
        <v>2150</v>
      </c>
    </row>
    <row r="12" spans="2:6" x14ac:dyDescent="0.25">
      <c r="E12" s="38" t="s">
        <v>2152</v>
      </c>
      <c r="F12" s="46" t="s">
        <v>2151</v>
      </c>
    </row>
  </sheetData>
  <sheetProtection sheet="1" selectLockedCells="1"/>
  <mergeCells count="2">
    <mergeCell ref="B2:C2"/>
    <mergeCell ref="E2:F2"/>
  </mergeCells>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SF_Download">
                <anchor moveWithCells="1" sizeWithCells="1">
                  <from>
                    <xdr:col>2</xdr:col>
                    <xdr:colOff>1104900</xdr:colOff>
                    <xdr:row>16</xdr:row>
                    <xdr:rowOff>19050</xdr:rowOff>
                  </from>
                  <to>
                    <xdr:col>4</xdr:col>
                    <xdr:colOff>1457325</xdr:colOff>
                    <xdr:row>20</xdr:row>
                    <xdr:rowOff>9525</xdr:rowOff>
                  </to>
                </anchor>
              </controlPr>
            </control>
          </mc:Choice>
        </mc:AlternateContent>
      </controls>
    </mc:Choice>
  </mc:AlternateContent>
  <tableParts count="2">
    <tablePart r:id="rId5"/>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81ACD-DC31-4AAC-A2B0-905191269588}">
  <sheetPr codeName="Sheet7"/>
  <dimension ref="A1:B2"/>
  <sheetViews>
    <sheetView workbookViewId="0"/>
  </sheetViews>
  <sheetFormatPr defaultRowHeight="15" x14ac:dyDescent="0.25"/>
  <cols>
    <col min="1" max="1" width="16.5703125" customWidth="1"/>
    <col min="2" max="2" width="19.5703125" customWidth="1"/>
  </cols>
  <sheetData>
    <row r="1" spans="1:2" x14ac:dyDescent="0.25">
      <c r="A1" t="s">
        <v>2131</v>
      </c>
      <c r="B1" t="s">
        <v>2129</v>
      </c>
    </row>
    <row r="2" spans="1:2" x14ac:dyDescent="0.25">
      <c r="A2" t="s">
        <v>2133</v>
      </c>
      <c r="B2" t="s">
        <v>2132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C92C1-DAAA-4C2A-A045-E5360C59B81E}">
  <sheetPr codeName="AllComplaints1"/>
  <dimension ref="A1:J373"/>
  <sheetViews>
    <sheetView topLeftCell="G52" workbookViewId="0">
      <selection activeCell="I20" sqref="I20"/>
    </sheetView>
  </sheetViews>
  <sheetFormatPr defaultRowHeight="15" x14ac:dyDescent="0.25"/>
  <cols>
    <col min="1" max="1" width="27" style="13" customWidth="1"/>
    <col min="2" max="2" width="35" style="13" customWidth="1"/>
    <col min="3" max="3" width="18.140625" style="13" customWidth="1"/>
    <col min="4" max="4" width="16" style="13" customWidth="1"/>
    <col min="5" max="5" width="92" style="13" customWidth="1"/>
    <col min="6" max="6" width="117" style="13" customWidth="1"/>
    <col min="7" max="7" width="80.7109375" style="26" customWidth="1"/>
    <col min="8" max="8" width="16" style="13" customWidth="1"/>
    <col min="9" max="9" width="25.42578125" style="13" customWidth="1"/>
    <col min="10" max="10" width="20" style="13" customWidth="1"/>
    <col min="11" max="16384" width="9.140625" style="13"/>
  </cols>
  <sheetData>
    <row r="1" spans="1:9" x14ac:dyDescent="0.25">
      <c r="A1" s="3"/>
      <c r="B1" s="3"/>
      <c r="C1" s="3"/>
      <c r="D1" s="3"/>
      <c r="E1" s="3"/>
      <c r="F1" s="3"/>
      <c r="G1" s="14"/>
      <c r="H1" s="3"/>
      <c r="I1" s="3"/>
    </row>
    <row r="2" spans="1:9" ht="23.25" x14ac:dyDescent="0.25">
      <c r="A2" s="4" t="s">
        <v>0</v>
      </c>
      <c r="B2" s="4"/>
      <c r="C2" s="4"/>
      <c r="D2" s="4"/>
      <c r="E2" s="4"/>
      <c r="F2" s="4"/>
      <c r="G2" s="15"/>
      <c r="H2" s="4"/>
      <c r="I2" s="4"/>
    </row>
    <row r="3" spans="1:9" ht="15.75" x14ac:dyDescent="0.25">
      <c r="A3" s="5" t="s">
        <v>1</v>
      </c>
      <c r="B3" s="5"/>
      <c r="C3" s="5"/>
      <c r="D3" s="5"/>
      <c r="E3" s="5"/>
      <c r="F3" s="5"/>
      <c r="G3" s="16"/>
      <c r="H3" s="5"/>
      <c r="I3" s="5"/>
    </row>
    <row r="4" spans="1:9" x14ac:dyDescent="0.25">
      <c r="A4" s="6"/>
      <c r="B4" s="6"/>
      <c r="C4" s="6"/>
      <c r="D4" s="6"/>
      <c r="E4" s="6"/>
      <c r="F4" s="6"/>
      <c r="G4" s="17"/>
      <c r="H4" s="6"/>
      <c r="I4" s="6"/>
    </row>
    <row r="5" spans="1:9" x14ac:dyDescent="0.25">
      <c r="A5" s="7"/>
      <c r="B5" s="7"/>
      <c r="C5" s="7"/>
      <c r="D5" s="7"/>
      <c r="E5" s="7"/>
      <c r="F5" s="7"/>
      <c r="G5" s="18"/>
      <c r="H5" s="7"/>
      <c r="I5" s="7"/>
    </row>
    <row r="6" spans="1:9" ht="15.75" x14ac:dyDescent="0.25">
      <c r="A6" s="8" t="s">
        <v>2</v>
      </c>
      <c r="B6" s="8"/>
      <c r="C6" s="8"/>
      <c r="D6" s="8"/>
      <c r="E6" s="8"/>
      <c r="F6" s="8"/>
      <c r="G6" s="19"/>
      <c r="H6" s="8"/>
      <c r="I6" s="8"/>
    </row>
    <row r="7" spans="1:9" ht="15.75" x14ac:dyDescent="0.25">
      <c r="A7" s="9" t="s">
        <v>3</v>
      </c>
      <c r="B7" s="9"/>
      <c r="C7" s="9"/>
      <c r="D7" s="9"/>
      <c r="E7" s="9"/>
      <c r="F7" s="9"/>
      <c r="G7" s="20"/>
      <c r="H7" s="9"/>
      <c r="I7" s="9"/>
    </row>
    <row r="8" spans="1:9" ht="15.75" x14ac:dyDescent="0.25">
      <c r="A8" s="9" t="s">
        <v>4</v>
      </c>
      <c r="B8" s="9"/>
      <c r="C8" s="9"/>
      <c r="D8" s="9"/>
      <c r="E8" s="9"/>
      <c r="F8" s="9"/>
      <c r="G8" s="20"/>
      <c r="H8" s="9"/>
      <c r="I8" s="9"/>
    </row>
    <row r="9" spans="1:9" ht="15.75" x14ac:dyDescent="0.25">
      <c r="A9" s="9" t="s">
        <v>5</v>
      </c>
      <c r="B9" s="9"/>
      <c r="C9" s="9"/>
      <c r="D9" s="9"/>
      <c r="E9" s="9"/>
      <c r="F9" s="9"/>
      <c r="G9" s="20"/>
      <c r="H9" s="9"/>
      <c r="I9" s="9"/>
    </row>
    <row r="10" spans="1:9" ht="15.75" x14ac:dyDescent="0.25">
      <c r="A10" s="9" t="s">
        <v>6</v>
      </c>
      <c r="B10" s="9"/>
      <c r="C10" s="9"/>
      <c r="D10" s="9"/>
      <c r="E10" s="9"/>
      <c r="F10" s="9"/>
      <c r="G10" s="20"/>
      <c r="H10" s="9"/>
      <c r="I10" s="9"/>
    </row>
    <row r="11" spans="1:9" ht="15.75" x14ac:dyDescent="0.25">
      <c r="A11" s="9" t="s">
        <v>7</v>
      </c>
      <c r="B11" s="9"/>
      <c r="C11" s="9"/>
      <c r="D11" s="9"/>
      <c r="E11" s="9"/>
      <c r="F11" s="9"/>
      <c r="G11" s="20"/>
      <c r="H11" s="9"/>
      <c r="I11" s="9"/>
    </row>
    <row r="12" spans="1:9" ht="15.75" x14ac:dyDescent="0.25">
      <c r="A12" s="9" t="s">
        <v>8</v>
      </c>
      <c r="B12" s="9"/>
      <c r="C12" s="9"/>
      <c r="D12" s="9"/>
      <c r="E12" s="9"/>
      <c r="F12" s="9"/>
      <c r="G12" s="20"/>
      <c r="H12" s="9"/>
      <c r="I12" s="9"/>
    </row>
    <row r="13" spans="1:9" ht="15.75" x14ac:dyDescent="0.25">
      <c r="A13" s="9" t="s">
        <v>9</v>
      </c>
      <c r="B13" s="9"/>
      <c r="C13" s="9"/>
      <c r="D13" s="9"/>
      <c r="E13" s="9"/>
      <c r="F13" s="9"/>
      <c r="G13" s="20"/>
      <c r="H13" s="9"/>
      <c r="I13" s="9"/>
    </row>
    <row r="14" spans="1:9" ht="15.75" x14ac:dyDescent="0.25">
      <c r="A14" s="9" t="s">
        <v>10</v>
      </c>
      <c r="B14" s="9"/>
      <c r="C14" s="9"/>
      <c r="D14" s="9"/>
      <c r="E14" s="9"/>
      <c r="F14" s="9"/>
      <c r="G14" s="20"/>
      <c r="H14" s="9"/>
      <c r="I14" s="9"/>
    </row>
    <row r="15" spans="1:9" ht="15.75" x14ac:dyDescent="0.25">
      <c r="A15" s="9" t="s">
        <v>11</v>
      </c>
      <c r="B15" s="9"/>
      <c r="C15" s="9"/>
      <c r="D15" s="9"/>
      <c r="E15" s="9"/>
      <c r="F15" s="9"/>
      <c r="G15" s="20"/>
      <c r="H15" s="9"/>
      <c r="I15" s="9"/>
    </row>
    <row r="16" spans="1:9" x14ac:dyDescent="0.25">
      <c r="A16" s="7"/>
      <c r="B16" s="7"/>
      <c r="C16" s="7"/>
      <c r="D16" s="7"/>
      <c r="E16" s="7"/>
      <c r="F16" s="7"/>
      <c r="G16" s="18"/>
      <c r="H16" s="7"/>
      <c r="I16" s="7"/>
    </row>
    <row r="17" spans="1:10" ht="15.75" x14ac:dyDescent="0.25">
      <c r="A17" s="31" t="s">
        <v>12</v>
      </c>
      <c r="B17" s="10" t="s">
        <v>13</v>
      </c>
      <c r="C17" s="10" t="s">
        <v>14</v>
      </c>
      <c r="D17" s="10" t="s">
        <v>15</v>
      </c>
      <c r="E17" s="10" t="s">
        <v>16</v>
      </c>
      <c r="F17" s="10" t="s">
        <v>17</v>
      </c>
      <c r="G17" s="21" t="s">
        <v>18</v>
      </c>
      <c r="H17" s="10" t="s">
        <v>19</v>
      </c>
      <c r="I17" s="32" t="s">
        <v>2130</v>
      </c>
      <c r="J17" s="32" t="s">
        <v>20</v>
      </c>
    </row>
    <row r="18" spans="1:10" ht="204.75" hidden="1" x14ac:dyDescent="0.25">
      <c r="A18" s="27" t="s">
        <v>21</v>
      </c>
      <c r="B18" s="1" t="s">
        <v>22</v>
      </c>
      <c r="C18" s="1" t="s">
        <v>23</v>
      </c>
      <c r="D18" s="1" t="s">
        <v>24</v>
      </c>
      <c r="E18" s="1" t="s">
        <v>25</v>
      </c>
      <c r="F18" s="1" t="s">
        <v>26</v>
      </c>
      <c r="G18" s="22" t="s">
        <v>27</v>
      </c>
      <c r="H18" s="1" t="s">
        <v>28</v>
      </c>
      <c r="I18" s="34" t="e">
        <f>HYPERLINK(DiscoveryTable5[[#This Row],[Case Number]],COUNTIF(#REF!,DiscoveryTable5[[#This Row],[Case Number]]))</f>
        <v>#REF!</v>
      </c>
      <c r="J18" s="28" t="s">
        <v>29</v>
      </c>
    </row>
    <row r="19" spans="1:10" ht="126" hidden="1" x14ac:dyDescent="0.25">
      <c r="A19" s="27" t="s">
        <v>30</v>
      </c>
      <c r="B19" s="1" t="s">
        <v>31</v>
      </c>
      <c r="C19" s="1" t="s">
        <v>32</v>
      </c>
      <c r="D19" s="1" t="s">
        <v>33</v>
      </c>
      <c r="E19" s="1" t="s">
        <v>34</v>
      </c>
      <c r="F19" s="1" t="s">
        <v>35</v>
      </c>
      <c r="G19" s="22" t="s">
        <v>36</v>
      </c>
      <c r="H19" s="1" t="s">
        <v>37</v>
      </c>
      <c r="I19" s="34" t="e">
        <f>HYPERLINK(DiscoveryTable5[[#This Row],[Case Number]],COUNTIF(#REF!,DiscoveryTable5[[#This Row],[Case Number]]))</f>
        <v>#REF!</v>
      </c>
      <c r="J19" s="28" t="s">
        <v>38</v>
      </c>
    </row>
    <row r="20" spans="1:10" ht="141.75" x14ac:dyDescent="0.25">
      <c r="A20" s="27" t="s">
        <v>39</v>
      </c>
      <c r="B20" s="1" t="s">
        <v>40</v>
      </c>
      <c r="C20" s="1" t="s">
        <v>23</v>
      </c>
      <c r="D20" s="1" t="s">
        <v>41</v>
      </c>
      <c r="E20" s="1" t="s">
        <v>25</v>
      </c>
      <c r="F20" s="1" t="s">
        <v>26</v>
      </c>
      <c r="G20" s="22" t="s">
        <v>42</v>
      </c>
      <c r="H20" s="1" t="s">
        <v>43</v>
      </c>
      <c r="I20" s="34" t="e">
        <f>HYPERLINK(DiscoveryTable5[[#This Row],[Case Number]],COUNTIF(#REF!,DiscoveryTable5[[#This Row],[Case Number]]))</f>
        <v>#REF!</v>
      </c>
      <c r="J20" s="28" t="s">
        <v>44</v>
      </c>
    </row>
    <row r="21" spans="1:10" ht="189" x14ac:dyDescent="0.25">
      <c r="A21" s="27" t="s">
        <v>45</v>
      </c>
      <c r="B21" s="1" t="s">
        <v>46</v>
      </c>
      <c r="C21" s="1" t="s">
        <v>23</v>
      </c>
      <c r="D21" s="1" t="s">
        <v>47</v>
      </c>
      <c r="E21" s="1" t="s">
        <v>25</v>
      </c>
      <c r="F21" s="1" t="s">
        <v>26</v>
      </c>
      <c r="G21" s="22" t="s">
        <v>48</v>
      </c>
      <c r="H21" s="1" t="s">
        <v>49</v>
      </c>
      <c r="I21" s="34" t="e">
        <f>HYPERLINK(DiscoveryTable5[[#This Row],[Case Number]],COUNTIF(#REF!,DiscoveryTable5[[#This Row],[Case Number]]))</f>
        <v>#REF!</v>
      </c>
      <c r="J21" s="28" t="s">
        <v>50</v>
      </c>
    </row>
    <row r="22" spans="1:10" ht="110.25" x14ac:dyDescent="0.25">
      <c r="A22" s="27" t="s">
        <v>51</v>
      </c>
      <c r="B22" s="1" t="s">
        <v>52</v>
      </c>
      <c r="C22" s="1" t="s">
        <v>53</v>
      </c>
      <c r="D22" s="1" t="s">
        <v>47</v>
      </c>
      <c r="E22" s="1" t="s">
        <v>54</v>
      </c>
      <c r="F22" s="1" t="s">
        <v>55</v>
      </c>
      <c r="G22" s="22" t="s">
        <v>56</v>
      </c>
      <c r="H22" s="1" t="s">
        <v>57</v>
      </c>
      <c r="I22" s="34" t="e">
        <f>HYPERLINK(DiscoveryTable5[[#This Row],[Case Number]],COUNTIF(#REF!,DiscoveryTable5[[#This Row],[Case Number]]))</f>
        <v>#REF!</v>
      </c>
      <c r="J22" s="28" t="s">
        <v>58</v>
      </c>
    </row>
    <row r="23" spans="1:10" ht="173.25" hidden="1" x14ac:dyDescent="0.25">
      <c r="A23" s="27" t="s">
        <v>59</v>
      </c>
      <c r="B23" s="1" t="s">
        <v>60</v>
      </c>
      <c r="C23" s="1" t="s">
        <v>23</v>
      </c>
      <c r="D23" s="1" t="s">
        <v>47</v>
      </c>
      <c r="E23" s="1" t="s">
        <v>25</v>
      </c>
      <c r="F23" s="1" t="s">
        <v>26</v>
      </c>
      <c r="G23" s="22" t="s">
        <v>61</v>
      </c>
      <c r="H23" s="1" t="s">
        <v>62</v>
      </c>
      <c r="I23" s="34" t="e">
        <f>HYPERLINK(DiscoveryTable5[[#This Row],[Case Number]],COUNTIF(#REF!,DiscoveryTable5[[#This Row],[Case Number]]))</f>
        <v>#REF!</v>
      </c>
      <c r="J23" s="28" t="s">
        <v>63</v>
      </c>
    </row>
    <row r="24" spans="1:10" ht="157.5" hidden="1" x14ac:dyDescent="0.25">
      <c r="A24" s="27" t="s">
        <v>64</v>
      </c>
      <c r="B24" s="1" t="s">
        <v>65</v>
      </c>
      <c r="C24" s="1" t="s">
        <v>23</v>
      </c>
      <c r="D24" s="1" t="s">
        <v>66</v>
      </c>
      <c r="E24" s="1" t="s">
        <v>25</v>
      </c>
      <c r="F24" s="1" t="s">
        <v>26</v>
      </c>
      <c r="G24" s="22" t="s">
        <v>67</v>
      </c>
      <c r="H24" s="1" t="s">
        <v>68</v>
      </c>
      <c r="I24" s="34" t="e">
        <f>HYPERLINK(DiscoveryTable5[[#This Row],[Case Number]],COUNTIF(#REF!,DiscoveryTable5[[#This Row],[Case Number]]))</f>
        <v>#REF!</v>
      </c>
      <c r="J24" s="28" t="s">
        <v>69</v>
      </c>
    </row>
    <row r="25" spans="1:10" ht="63" hidden="1" x14ac:dyDescent="0.25">
      <c r="A25" s="27" t="s">
        <v>70</v>
      </c>
      <c r="B25" s="1" t="s">
        <v>71</v>
      </c>
      <c r="C25" s="1" t="s">
        <v>23</v>
      </c>
      <c r="D25" s="1" t="s">
        <v>66</v>
      </c>
      <c r="E25" s="1" t="s">
        <v>72</v>
      </c>
      <c r="F25" s="1" t="s">
        <v>73</v>
      </c>
      <c r="G25" s="22" t="s">
        <v>74</v>
      </c>
      <c r="H25" s="1" t="s">
        <v>75</v>
      </c>
      <c r="I25" s="34" t="e">
        <f>HYPERLINK(DiscoveryTable5[[#This Row],[Case Number]],COUNTIF(#REF!,DiscoveryTable5[[#This Row],[Case Number]]))</f>
        <v>#REF!</v>
      </c>
      <c r="J25" s="28" t="s">
        <v>76</v>
      </c>
    </row>
    <row r="26" spans="1:10" ht="110.25" hidden="1" x14ac:dyDescent="0.25">
      <c r="A26" s="27" t="s">
        <v>77</v>
      </c>
      <c r="B26" s="1" t="s">
        <v>78</v>
      </c>
      <c r="C26" s="1" t="s">
        <v>23</v>
      </c>
      <c r="D26" s="1" t="s">
        <v>79</v>
      </c>
      <c r="E26" s="1" t="s">
        <v>25</v>
      </c>
      <c r="F26" s="1" t="s">
        <v>26</v>
      </c>
      <c r="G26" s="22" t="s">
        <v>80</v>
      </c>
      <c r="H26" s="1" t="s">
        <v>81</v>
      </c>
      <c r="I26" s="34" t="e">
        <f>HYPERLINK(DiscoveryTable5[[#This Row],[Case Number]],COUNTIF(#REF!,DiscoveryTable5[[#This Row],[Case Number]]))</f>
        <v>#REF!</v>
      </c>
      <c r="J26" s="28" t="s">
        <v>82</v>
      </c>
    </row>
    <row r="27" spans="1:10" ht="141.75" hidden="1" x14ac:dyDescent="0.25">
      <c r="A27" s="27" t="s">
        <v>83</v>
      </c>
      <c r="B27" s="1" t="s">
        <v>84</v>
      </c>
      <c r="C27" s="1" t="s">
        <v>23</v>
      </c>
      <c r="D27" s="1" t="s">
        <v>79</v>
      </c>
      <c r="E27" s="1" t="s">
        <v>25</v>
      </c>
      <c r="F27" s="1" t="s">
        <v>26</v>
      </c>
      <c r="G27" s="22" t="s">
        <v>85</v>
      </c>
      <c r="H27" s="1" t="s">
        <v>86</v>
      </c>
      <c r="I27" s="34" t="e">
        <f>HYPERLINK(DiscoveryTable5[[#This Row],[Case Number]],COUNTIF(#REF!,DiscoveryTable5[[#This Row],[Case Number]]))</f>
        <v>#REF!</v>
      </c>
      <c r="J27" s="28" t="s">
        <v>87</v>
      </c>
    </row>
    <row r="28" spans="1:10" ht="110.25" hidden="1" x14ac:dyDescent="0.25">
      <c r="A28" s="27" t="s">
        <v>88</v>
      </c>
      <c r="B28" s="1" t="s">
        <v>89</v>
      </c>
      <c r="C28" s="1" t="s">
        <v>23</v>
      </c>
      <c r="D28" s="1" t="s">
        <v>79</v>
      </c>
      <c r="E28" s="1" t="s">
        <v>25</v>
      </c>
      <c r="F28" s="1" t="s">
        <v>26</v>
      </c>
      <c r="G28" s="22" t="s">
        <v>90</v>
      </c>
      <c r="H28" s="1" t="s">
        <v>91</v>
      </c>
      <c r="I28" s="34" t="e">
        <f>HYPERLINK(DiscoveryTable5[[#This Row],[Case Number]],COUNTIF(#REF!,DiscoveryTable5[[#This Row],[Case Number]]))</f>
        <v>#REF!</v>
      </c>
      <c r="J28" s="28" t="s">
        <v>92</v>
      </c>
    </row>
    <row r="29" spans="1:10" ht="63" hidden="1" x14ac:dyDescent="0.25">
      <c r="A29" s="27" t="s">
        <v>93</v>
      </c>
      <c r="B29" s="1" t="s">
        <v>94</v>
      </c>
      <c r="C29" s="1" t="s">
        <v>23</v>
      </c>
      <c r="D29" s="1" t="s">
        <v>95</v>
      </c>
      <c r="E29" s="1" t="s">
        <v>25</v>
      </c>
      <c r="F29" s="1" t="s">
        <v>26</v>
      </c>
      <c r="G29" s="22" t="s">
        <v>96</v>
      </c>
      <c r="H29" s="1" t="s">
        <v>97</v>
      </c>
      <c r="I29" s="34" t="e">
        <f>HYPERLINK(DiscoveryTable5[[#This Row],[Case Number]],COUNTIF(#REF!,DiscoveryTable5[[#This Row],[Case Number]]))</f>
        <v>#REF!</v>
      </c>
      <c r="J29" s="28" t="s">
        <v>98</v>
      </c>
    </row>
    <row r="30" spans="1:10" ht="110.25" hidden="1" x14ac:dyDescent="0.25">
      <c r="A30" s="27" t="s">
        <v>99</v>
      </c>
      <c r="B30" s="1" t="s">
        <v>100</v>
      </c>
      <c r="C30" s="1" t="s">
        <v>101</v>
      </c>
      <c r="D30" s="1" t="s">
        <v>102</v>
      </c>
      <c r="E30" s="1" t="s">
        <v>25</v>
      </c>
      <c r="F30" s="1" t="s">
        <v>26</v>
      </c>
      <c r="G30" s="22" t="s">
        <v>103</v>
      </c>
      <c r="H30" s="1" t="s">
        <v>104</v>
      </c>
      <c r="I30" s="34" t="e">
        <f>HYPERLINK(DiscoveryTable5[[#This Row],[Case Number]],COUNTIF(#REF!,DiscoveryTable5[[#This Row],[Case Number]]))</f>
        <v>#REF!</v>
      </c>
      <c r="J30" s="28" t="s">
        <v>105</v>
      </c>
    </row>
    <row r="31" spans="1:10" ht="15.75" hidden="1" x14ac:dyDescent="0.25">
      <c r="A31" s="27" t="s">
        <v>106</v>
      </c>
      <c r="B31" s="1" t="s">
        <v>107</v>
      </c>
      <c r="C31" s="1" t="s">
        <v>108</v>
      </c>
      <c r="D31" s="1" t="s">
        <v>102</v>
      </c>
      <c r="E31" s="1" t="s">
        <v>25</v>
      </c>
      <c r="F31" s="1" t="s">
        <v>26</v>
      </c>
      <c r="G31" s="22" t="s">
        <v>109</v>
      </c>
      <c r="H31" s="1" t="s">
        <v>110</v>
      </c>
      <c r="I31" s="34" t="e">
        <f>HYPERLINK(DiscoveryTable5[[#This Row],[Case Number]],COUNTIF(#REF!,DiscoveryTable5[[#This Row],[Case Number]]))</f>
        <v>#REF!</v>
      </c>
      <c r="J31" s="28" t="s">
        <v>111</v>
      </c>
    </row>
    <row r="32" spans="1:10" ht="157.5" x14ac:dyDescent="0.25">
      <c r="A32" s="27" t="s">
        <v>118</v>
      </c>
      <c r="B32" s="1" t="s">
        <v>119</v>
      </c>
      <c r="C32" s="1" t="s">
        <v>23</v>
      </c>
      <c r="D32" s="1" t="s">
        <v>114</v>
      </c>
      <c r="E32" s="1" t="s">
        <v>120</v>
      </c>
      <c r="F32" s="1" t="s">
        <v>121</v>
      </c>
      <c r="G32" s="22" t="s">
        <v>122</v>
      </c>
      <c r="H32" s="1" t="s">
        <v>123</v>
      </c>
      <c r="I32" s="34" t="e">
        <f>HYPERLINK(DiscoveryTable5[[#This Row],[Case Number]],COUNTIF(#REF!,DiscoveryTable5[[#This Row],[Case Number]]))</f>
        <v>#REF!</v>
      </c>
      <c r="J32" s="28" t="s">
        <v>124</v>
      </c>
    </row>
    <row r="33" spans="1:10" ht="126" x14ac:dyDescent="0.25">
      <c r="A33" s="27" t="s">
        <v>112</v>
      </c>
      <c r="B33" s="1" t="s">
        <v>113</v>
      </c>
      <c r="C33" s="1" t="s">
        <v>23</v>
      </c>
      <c r="D33" s="1" t="s">
        <v>114</v>
      </c>
      <c r="E33" s="1" t="s">
        <v>54</v>
      </c>
      <c r="F33" s="1" t="s">
        <v>55</v>
      </c>
      <c r="G33" s="22" t="s">
        <v>115</v>
      </c>
      <c r="H33" s="1" t="s">
        <v>116</v>
      </c>
      <c r="I33" s="34" t="e">
        <f>HYPERLINK(DiscoveryTable5[[#This Row],[Case Number]],COUNTIF(#REF!,DiscoveryTable5[[#This Row],[Case Number]]))</f>
        <v>#REF!</v>
      </c>
      <c r="J33" s="28" t="s">
        <v>117</v>
      </c>
    </row>
    <row r="34" spans="1:10" ht="47.25" hidden="1" x14ac:dyDescent="0.25">
      <c r="A34" s="27" t="s">
        <v>125</v>
      </c>
      <c r="B34" s="1" t="s">
        <v>126</v>
      </c>
      <c r="C34" s="1" t="s">
        <v>23</v>
      </c>
      <c r="D34" s="1" t="s">
        <v>114</v>
      </c>
      <c r="E34" s="1" t="s">
        <v>25</v>
      </c>
      <c r="F34" s="1" t="s">
        <v>26</v>
      </c>
      <c r="G34" s="22" t="s">
        <v>127</v>
      </c>
      <c r="H34" s="1" t="s">
        <v>128</v>
      </c>
      <c r="I34" s="34" t="e">
        <f>HYPERLINK(DiscoveryTable5[[#This Row],[Case Number]],COUNTIF(#REF!,DiscoveryTable5[[#This Row],[Case Number]]))</f>
        <v>#REF!</v>
      </c>
      <c r="J34" s="28" t="s">
        <v>129</v>
      </c>
    </row>
    <row r="35" spans="1:10" ht="94.5" hidden="1" x14ac:dyDescent="0.25">
      <c r="A35" s="27" t="s">
        <v>130</v>
      </c>
      <c r="B35" s="1" t="s">
        <v>131</v>
      </c>
      <c r="C35" s="1" t="s">
        <v>23</v>
      </c>
      <c r="D35" s="1" t="s">
        <v>114</v>
      </c>
      <c r="E35" s="1" t="s">
        <v>25</v>
      </c>
      <c r="F35" s="1" t="s">
        <v>26</v>
      </c>
      <c r="G35" s="22" t="s">
        <v>132</v>
      </c>
      <c r="H35" s="1" t="s">
        <v>133</v>
      </c>
      <c r="I35" s="34" t="e">
        <f>HYPERLINK(DiscoveryTable5[[#This Row],[Case Number]],COUNTIF(#REF!,DiscoveryTable5[[#This Row],[Case Number]]))</f>
        <v>#REF!</v>
      </c>
      <c r="J35" s="28" t="s">
        <v>134</v>
      </c>
    </row>
    <row r="36" spans="1:10" ht="110.25" hidden="1" x14ac:dyDescent="0.25">
      <c r="A36" s="27" t="s">
        <v>135</v>
      </c>
      <c r="B36" s="1" t="s">
        <v>136</v>
      </c>
      <c r="C36" s="1" t="s">
        <v>23</v>
      </c>
      <c r="D36" s="1" t="s">
        <v>114</v>
      </c>
      <c r="E36" s="1" t="s">
        <v>25</v>
      </c>
      <c r="F36" s="1" t="s">
        <v>26</v>
      </c>
      <c r="G36" s="22" t="s">
        <v>137</v>
      </c>
      <c r="H36" s="1" t="s">
        <v>138</v>
      </c>
      <c r="I36" s="34" t="e">
        <f>HYPERLINK(DiscoveryTable5[[#This Row],[Case Number]],COUNTIF(#REF!,DiscoveryTable5[[#This Row],[Case Number]]))</f>
        <v>#REF!</v>
      </c>
      <c r="J36" s="28" t="s">
        <v>139</v>
      </c>
    </row>
    <row r="37" spans="1:10" ht="78.75" hidden="1" x14ac:dyDescent="0.25">
      <c r="A37" s="27" t="s">
        <v>140</v>
      </c>
      <c r="B37" s="1" t="s">
        <v>141</v>
      </c>
      <c r="C37" s="1" t="s">
        <v>23</v>
      </c>
      <c r="D37" s="1" t="s">
        <v>114</v>
      </c>
      <c r="E37" s="1" t="s">
        <v>142</v>
      </c>
      <c r="F37" s="1" t="s">
        <v>143</v>
      </c>
      <c r="G37" s="22" t="s">
        <v>144</v>
      </c>
      <c r="H37" s="1" t="s">
        <v>145</v>
      </c>
      <c r="I37" s="34" t="e">
        <f>HYPERLINK(DiscoveryTable5[[#This Row],[Case Number]],COUNTIF(#REF!,DiscoveryTable5[[#This Row],[Case Number]]))</f>
        <v>#REF!</v>
      </c>
      <c r="J37" s="28" t="s">
        <v>146</v>
      </c>
    </row>
    <row r="38" spans="1:10" ht="204.75" x14ac:dyDescent="0.25">
      <c r="A38" s="27" t="s">
        <v>147</v>
      </c>
      <c r="B38" s="1" t="s">
        <v>148</v>
      </c>
      <c r="C38" s="1" t="s">
        <v>23</v>
      </c>
      <c r="D38" s="1" t="s">
        <v>114</v>
      </c>
      <c r="E38" s="1" t="s">
        <v>25</v>
      </c>
      <c r="F38" s="1" t="s">
        <v>26</v>
      </c>
      <c r="G38" s="22" t="s">
        <v>149</v>
      </c>
      <c r="H38" s="1" t="s">
        <v>150</v>
      </c>
      <c r="I38" s="34" t="e">
        <f>HYPERLINK(DiscoveryTable5[[#This Row],[Case Number]],COUNTIF(#REF!,DiscoveryTable5[[#This Row],[Case Number]]))</f>
        <v>#REF!</v>
      </c>
      <c r="J38" s="28" t="s">
        <v>151</v>
      </c>
    </row>
    <row r="39" spans="1:10" ht="204.75" x14ac:dyDescent="0.25">
      <c r="A39" s="27" t="s">
        <v>152</v>
      </c>
      <c r="B39" s="1" t="s">
        <v>153</v>
      </c>
      <c r="C39" s="1" t="s">
        <v>154</v>
      </c>
      <c r="D39" s="1" t="s">
        <v>114</v>
      </c>
      <c r="E39" s="1" t="s">
        <v>155</v>
      </c>
      <c r="F39" s="1" t="s">
        <v>156</v>
      </c>
      <c r="G39" s="22" t="s">
        <v>157</v>
      </c>
      <c r="H39" s="1" t="s">
        <v>158</v>
      </c>
      <c r="I39" s="34" t="e">
        <f>HYPERLINK(DiscoveryTable5[[#This Row],[Case Number]],COUNTIF(#REF!,DiscoveryTable5[[#This Row],[Case Number]]))</f>
        <v>#REF!</v>
      </c>
      <c r="J39" s="28" t="s">
        <v>159</v>
      </c>
    </row>
    <row r="40" spans="1:10" ht="78.75" hidden="1" x14ac:dyDescent="0.25">
      <c r="A40" s="27" t="s">
        <v>160</v>
      </c>
      <c r="B40" s="1" t="s">
        <v>161</v>
      </c>
      <c r="C40" s="1" t="s">
        <v>23</v>
      </c>
      <c r="D40" s="1" t="s">
        <v>114</v>
      </c>
      <c r="E40" s="1" t="s">
        <v>25</v>
      </c>
      <c r="F40" s="1" t="s">
        <v>26</v>
      </c>
      <c r="G40" s="22" t="s">
        <v>162</v>
      </c>
      <c r="H40" s="1" t="s">
        <v>163</v>
      </c>
      <c r="I40" s="34" t="e">
        <f>HYPERLINK(DiscoveryTable5[[#This Row],[Case Number]],COUNTIF(#REF!,DiscoveryTable5[[#This Row],[Case Number]]))</f>
        <v>#REF!</v>
      </c>
      <c r="J40" s="28" t="s">
        <v>164</v>
      </c>
    </row>
    <row r="41" spans="1:10" ht="110.25" hidden="1" x14ac:dyDescent="0.25">
      <c r="A41" s="27" t="s">
        <v>165</v>
      </c>
      <c r="B41" s="1" t="s">
        <v>166</v>
      </c>
      <c r="C41" s="1" t="s">
        <v>23</v>
      </c>
      <c r="D41" s="1" t="s">
        <v>114</v>
      </c>
      <c r="E41" s="1" t="s">
        <v>25</v>
      </c>
      <c r="F41" s="1" t="s">
        <v>26</v>
      </c>
      <c r="G41" s="22" t="s">
        <v>167</v>
      </c>
      <c r="H41" s="1" t="s">
        <v>168</v>
      </c>
      <c r="I41" s="34" t="e">
        <f>HYPERLINK(DiscoveryTable5[[#This Row],[Case Number]],COUNTIF(#REF!,DiscoveryTable5[[#This Row],[Case Number]]))</f>
        <v>#REF!</v>
      </c>
      <c r="J41" s="28" t="s">
        <v>169</v>
      </c>
    </row>
    <row r="42" spans="1:10" ht="267.75" hidden="1" x14ac:dyDescent="0.25">
      <c r="A42" s="27" t="s">
        <v>170</v>
      </c>
      <c r="B42" s="1" t="s">
        <v>171</v>
      </c>
      <c r="C42" s="1" t="s">
        <v>23</v>
      </c>
      <c r="D42" s="1" t="s">
        <v>114</v>
      </c>
      <c r="E42" s="1" t="s">
        <v>25</v>
      </c>
      <c r="F42" s="1" t="s">
        <v>26</v>
      </c>
      <c r="G42" s="22" t="s">
        <v>172</v>
      </c>
      <c r="H42" s="1" t="s">
        <v>173</v>
      </c>
      <c r="I42" s="34" t="e">
        <f>HYPERLINK(DiscoveryTable5[[#This Row],[Case Number]],COUNTIF(#REF!,DiscoveryTable5[[#This Row],[Case Number]]))</f>
        <v>#REF!</v>
      </c>
      <c r="J42" s="28" t="s">
        <v>174</v>
      </c>
    </row>
    <row r="43" spans="1:10" ht="173.25" hidden="1" x14ac:dyDescent="0.25">
      <c r="A43" s="27" t="s">
        <v>181</v>
      </c>
      <c r="B43" s="1" t="s">
        <v>182</v>
      </c>
      <c r="C43" s="1" t="s">
        <v>23</v>
      </c>
      <c r="D43" s="1" t="s">
        <v>114</v>
      </c>
      <c r="E43" s="1" t="s">
        <v>25</v>
      </c>
      <c r="F43" s="1" t="s">
        <v>26</v>
      </c>
      <c r="G43" s="22" t="s">
        <v>183</v>
      </c>
      <c r="H43" s="1" t="s">
        <v>184</v>
      </c>
      <c r="I43" s="34" t="e">
        <f>HYPERLINK(DiscoveryTable5[[#This Row],[Case Number]],COUNTIF(#REF!,DiscoveryTable5[[#This Row],[Case Number]]))</f>
        <v>#REF!</v>
      </c>
      <c r="J43" s="28" t="s">
        <v>185</v>
      </c>
    </row>
    <row r="44" spans="1:10" ht="110.25" hidden="1" x14ac:dyDescent="0.25">
      <c r="A44" s="27" t="s">
        <v>175</v>
      </c>
      <c r="B44" s="1" t="s">
        <v>176</v>
      </c>
      <c r="C44" s="1" t="s">
        <v>177</v>
      </c>
      <c r="D44" s="1" t="s">
        <v>114</v>
      </c>
      <c r="E44" s="1" t="s">
        <v>25</v>
      </c>
      <c r="F44" s="1" t="s">
        <v>26</v>
      </c>
      <c r="G44" s="22" t="s">
        <v>178</v>
      </c>
      <c r="H44" s="1" t="s">
        <v>179</v>
      </c>
      <c r="I44" s="34" t="e">
        <f>HYPERLINK(DiscoveryTable5[[#This Row],[Case Number]],COUNTIF(#REF!,DiscoveryTable5[[#This Row],[Case Number]]))</f>
        <v>#REF!</v>
      </c>
      <c r="J44" s="28" t="s">
        <v>180</v>
      </c>
    </row>
    <row r="45" spans="1:10" ht="31.5" hidden="1" x14ac:dyDescent="0.25">
      <c r="A45" s="27" t="s">
        <v>186</v>
      </c>
      <c r="B45" s="1" t="s">
        <v>187</v>
      </c>
      <c r="C45" s="1" t="s">
        <v>188</v>
      </c>
      <c r="D45" s="1" t="s">
        <v>114</v>
      </c>
      <c r="E45" s="1" t="s">
        <v>25</v>
      </c>
      <c r="F45" s="1" t="s">
        <v>26</v>
      </c>
      <c r="G45" s="22" t="s">
        <v>189</v>
      </c>
      <c r="H45" s="1" t="s">
        <v>190</v>
      </c>
      <c r="I45" s="34" t="e">
        <f>HYPERLINK(DiscoveryTable5[[#This Row],[Case Number]],COUNTIF(#REF!,DiscoveryTable5[[#This Row],[Case Number]]))</f>
        <v>#REF!</v>
      </c>
      <c r="J45" s="28" t="s">
        <v>191</v>
      </c>
    </row>
    <row r="46" spans="1:10" ht="47.25" x14ac:dyDescent="0.25">
      <c r="A46" s="27" t="s">
        <v>192</v>
      </c>
      <c r="B46" s="1" t="s">
        <v>193</v>
      </c>
      <c r="C46" s="1" t="s">
        <v>23</v>
      </c>
      <c r="D46" s="1" t="s">
        <v>114</v>
      </c>
      <c r="E46" s="1" t="s">
        <v>25</v>
      </c>
      <c r="F46" s="1" t="s">
        <v>26</v>
      </c>
      <c r="G46" s="22" t="s">
        <v>194</v>
      </c>
      <c r="H46" s="1" t="s">
        <v>195</v>
      </c>
      <c r="I46" s="34" t="e">
        <f>HYPERLINK(DiscoveryTable5[[#This Row],[Case Number]],COUNTIF(#REF!,DiscoveryTable5[[#This Row],[Case Number]]))</f>
        <v>#REF!</v>
      </c>
      <c r="J46" s="28" t="s">
        <v>196</v>
      </c>
    </row>
    <row r="47" spans="1:10" ht="252" hidden="1" x14ac:dyDescent="0.25">
      <c r="A47" s="27" t="s">
        <v>203</v>
      </c>
      <c r="B47" s="1" t="s">
        <v>204</v>
      </c>
      <c r="C47" s="1" t="s">
        <v>23</v>
      </c>
      <c r="D47" s="1" t="s">
        <v>199</v>
      </c>
      <c r="E47" s="1" t="s">
        <v>34</v>
      </c>
      <c r="F47" s="1" t="s">
        <v>35</v>
      </c>
      <c r="G47" s="22" t="s">
        <v>205</v>
      </c>
      <c r="H47" s="1" t="s">
        <v>206</v>
      </c>
      <c r="I47" s="34" t="e">
        <f>HYPERLINK(DiscoveryTable5[[#This Row],[Case Number]],COUNTIF(#REF!,DiscoveryTable5[[#This Row],[Case Number]]))</f>
        <v>#REF!</v>
      </c>
      <c r="J47" s="28" t="s">
        <v>207</v>
      </c>
    </row>
    <row r="48" spans="1:10" ht="157.5" hidden="1" x14ac:dyDescent="0.25">
      <c r="A48" s="27" t="s">
        <v>197</v>
      </c>
      <c r="B48" s="1" t="s">
        <v>198</v>
      </c>
      <c r="C48" s="1" t="s">
        <v>23</v>
      </c>
      <c r="D48" s="1" t="s">
        <v>199</v>
      </c>
      <c r="E48" s="1" t="s">
        <v>25</v>
      </c>
      <c r="F48" s="1" t="s">
        <v>26</v>
      </c>
      <c r="G48" s="22" t="s">
        <v>200</v>
      </c>
      <c r="H48" s="1" t="s">
        <v>201</v>
      </c>
      <c r="I48" s="34" t="e">
        <f>HYPERLINK(DiscoveryTable5[[#This Row],[Case Number]],COUNTIF(#REF!,DiscoveryTable5[[#This Row],[Case Number]]))</f>
        <v>#REF!</v>
      </c>
      <c r="J48" s="28" t="s">
        <v>202</v>
      </c>
    </row>
    <row r="49" spans="1:10" ht="78.75" x14ac:dyDescent="0.25">
      <c r="A49" s="27" t="s">
        <v>208</v>
      </c>
      <c r="B49" s="1" t="s">
        <v>209</v>
      </c>
      <c r="C49" s="1" t="s">
        <v>210</v>
      </c>
      <c r="D49" s="1" t="s">
        <v>199</v>
      </c>
      <c r="E49" s="1" t="s">
        <v>25</v>
      </c>
      <c r="F49" s="1" t="s">
        <v>26</v>
      </c>
      <c r="G49" s="22" t="s">
        <v>211</v>
      </c>
      <c r="H49" s="1" t="s">
        <v>212</v>
      </c>
      <c r="I49" s="34" t="e">
        <f>HYPERLINK(DiscoveryTable5[[#This Row],[Case Number]],COUNTIF(#REF!,DiscoveryTable5[[#This Row],[Case Number]]))</f>
        <v>#REF!</v>
      </c>
      <c r="J49" s="28" t="s">
        <v>213</v>
      </c>
    </row>
    <row r="50" spans="1:10" ht="204.75" hidden="1" x14ac:dyDescent="0.25">
      <c r="A50" s="27" t="s">
        <v>221</v>
      </c>
      <c r="B50" s="1" t="s">
        <v>222</v>
      </c>
      <c r="C50" s="1" t="s">
        <v>23</v>
      </c>
      <c r="D50" s="1" t="s">
        <v>199</v>
      </c>
      <c r="E50" s="1" t="s">
        <v>223</v>
      </c>
      <c r="F50" s="1" t="s">
        <v>224</v>
      </c>
      <c r="G50" s="22" t="s">
        <v>225</v>
      </c>
      <c r="H50" s="1" t="s">
        <v>226</v>
      </c>
      <c r="I50" s="34" t="e">
        <f>HYPERLINK(DiscoveryTable5[[#This Row],[Case Number]],COUNTIF(#REF!,DiscoveryTable5[[#This Row],[Case Number]]))</f>
        <v>#REF!</v>
      </c>
      <c r="J50" s="28" t="s">
        <v>227</v>
      </c>
    </row>
    <row r="51" spans="1:10" ht="63" hidden="1" x14ac:dyDescent="0.25">
      <c r="A51" s="27" t="s">
        <v>214</v>
      </c>
      <c r="B51" s="1" t="s">
        <v>215</v>
      </c>
      <c r="C51" s="1" t="s">
        <v>23</v>
      </c>
      <c r="D51" s="1" t="s">
        <v>199</v>
      </c>
      <c r="E51" s="1" t="s">
        <v>216</v>
      </c>
      <c r="F51" s="1" t="s">
        <v>217</v>
      </c>
      <c r="G51" s="22" t="s">
        <v>218</v>
      </c>
      <c r="H51" s="1" t="s">
        <v>219</v>
      </c>
      <c r="I51" s="34" t="e">
        <f>HYPERLINK(DiscoveryTable5[[#This Row],[Case Number]],COUNTIF(#REF!,DiscoveryTable5[[#This Row],[Case Number]]))</f>
        <v>#REF!</v>
      </c>
      <c r="J51" s="28" t="s">
        <v>220</v>
      </c>
    </row>
    <row r="52" spans="1:10" ht="110.25" x14ac:dyDescent="0.25">
      <c r="A52" s="27" t="s">
        <v>228</v>
      </c>
      <c r="B52" s="1" t="s">
        <v>229</v>
      </c>
      <c r="C52" s="1" t="s">
        <v>23</v>
      </c>
      <c r="D52" s="1" t="s">
        <v>199</v>
      </c>
      <c r="E52" s="1" t="s">
        <v>25</v>
      </c>
      <c r="F52" s="1" t="s">
        <v>26</v>
      </c>
      <c r="G52" s="22" t="s">
        <v>230</v>
      </c>
      <c r="H52" s="1" t="s">
        <v>231</v>
      </c>
      <c r="I52" s="34" t="e">
        <f>HYPERLINK(DiscoveryTable5[[#This Row],[Case Number]],COUNTIF(#REF!,DiscoveryTable5[[#This Row],[Case Number]]))</f>
        <v>#REF!</v>
      </c>
      <c r="J52" s="28" t="s">
        <v>232</v>
      </c>
    </row>
    <row r="53" spans="1:10" ht="31.5" hidden="1" x14ac:dyDescent="0.25">
      <c r="A53" s="27" t="s">
        <v>233</v>
      </c>
      <c r="B53" s="1" t="s">
        <v>234</v>
      </c>
      <c r="C53" s="1" t="s">
        <v>23</v>
      </c>
      <c r="D53" s="1" t="s">
        <v>199</v>
      </c>
      <c r="E53" s="1" t="s">
        <v>235</v>
      </c>
      <c r="F53" s="1" t="s">
        <v>236</v>
      </c>
      <c r="G53" s="22" t="s">
        <v>237</v>
      </c>
      <c r="H53" s="1" t="s">
        <v>238</v>
      </c>
      <c r="I53" s="34" t="e">
        <f>HYPERLINK(DiscoveryTable5[[#This Row],[Case Number]],COUNTIF(#REF!,DiscoveryTable5[[#This Row],[Case Number]]))</f>
        <v>#REF!</v>
      </c>
      <c r="J53" s="28" t="s">
        <v>239</v>
      </c>
    </row>
    <row r="54" spans="1:10" ht="94.5" hidden="1" x14ac:dyDescent="0.25">
      <c r="A54" s="27" t="s">
        <v>240</v>
      </c>
      <c r="B54" s="1" t="s">
        <v>241</v>
      </c>
      <c r="C54" s="1" t="s">
        <v>242</v>
      </c>
      <c r="D54" s="1" t="s">
        <v>243</v>
      </c>
      <c r="E54" s="1" t="s">
        <v>25</v>
      </c>
      <c r="F54" s="1" t="s">
        <v>26</v>
      </c>
      <c r="G54" s="22" t="s">
        <v>244</v>
      </c>
      <c r="H54" s="1" t="s">
        <v>245</v>
      </c>
      <c r="I54" s="34" t="e">
        <f>HYPERLINK(DiscoveryTable5[[#This Row],[Case Number]],COUNTIF(#REF!,DiscoveryTable5[[#This Row],[Case Number]]))</f>
        <v>#REF!</v>
      </c>
      <c r="J54" s="28" t="s">
        <v>246</v>
      </c>
    </row>
    <row r="55" spans="1:10" ht="63" x14ac:dyDescent="0.25">
      <c r="A55" s="27" t="s">
        <v>247</v>
      </c>
      <c r="B55" s="1" t="s">
        <v>248</v>
      </c>
      <c r="C55" s="1" t="s">
        <v>249</v>
      </c>
      <c r="D55" s="1" t="s">
        <v>243</v>
      </c>
      <c r="E55" s="1" t="s">
        <v>25</v>
      </c>
      <c r="F55" s="1" t="s">
        <v>26</v>
      </c>
      <c r="G55" s="22" t="s">
        <v>250</v>
      </c>
      <c r="H55" s="1" t="s">
        <v>251</v>
      </c>
      <c r="I55" s="34" t="e">
        <f>HYPERLINK(DiscoveryTable5[[#This Row],[Case Number]],COUNTIF(#REF!,DiscoveryTable5[[#This Row],[Case Number]]))</f>
        <v>#REF!</v>
      </c>
      <c r="J55" s="28" t="s">
        <v>252</v>
      </c>
    </row>
    <row r="56" spans="1:10" ht="78.75" hidden="1" x14ac:dyDescent="0.25">
      <c r="A56" s="27" t="s">
        <v>253</v>
      </c>
      <c r="B56" s="1" t="s">
        <v>254</v>
      </c>
      <c r="C56" s="1" t="s">
        <v>23</v>
      </c>
      <c r="D56" s="1" t="s">
        <v>243</v>
      </c>
      <c r="E56" s="1" t="s">
        <v>25</v>
      </c>
      <c r="F56" s="1" t="s">
        <v>26</v>
      </c>
      <c r="G56" s="22" t="s">
        <v>255</v>
      </c>
      <c r="H56" s="1" t="s">
        <v>256</v>
      </c>
      <c r="I56" s="34" t="e">
        <f>HYPERLINK(DiscoveryTable5[[#This Row],[Case Number]],COUNTIF(#REF!,DiscoveryTable5[[#This Row],[Case Number]]))</f>
        <v>#REF!</v>
      </c>
      <c r="J56" s="28" t="s">
        <v>257</v>
      </c>
    </row>
    <row r="57" spans="1:10" ht="63" hidden="1" x14ac:dyDescent="0.25">
      <c r="A57" s="27" t="s">
        <v>258</v>
      </c>
      <c r="B57" s="1" t="s">
        <v>259</v>
      </c>
      <c r="C57" s="1" t="s">
        <v>260</v>
      </c>
      <c r="D57" s="1" t="s">
        <v>261</v>
      </c>
      <c r="E57" s="1" t="s">
        <v>25</v>
      </c>
      <c r="F57" s="1" t="s">
        <v>26</v>
      </c>
      <c r="G57" s="22" t="s">
        <v>262</v>
      </c>
      <c r="H57" s="1" t="s">
        <v>263</v>
      </c>
      <c r="I57" s="34" t="e">
        <f>HYPERLINK(DiscoveryTable5[[#This Row],[Case Number]],COUNTIF(#REF!,DiscoveryTable5[[#This Row],[Case Number]]))</f>
        <v>#REF!</v>
      </c>
      <c r="J57" s="28" t="s">
        <v>264</v>
      </c>
    </row>
    <row r="58" spans="1:10" ht="15.75" x14ac:dyDescent="0.25">
      <c r="A58" s="27" t="s">
        <v>265</v>
      </c>
      <c r="B58" s="1" t="s">
        <v>266</v>
      </c>
      <c r="C58" s="1" t="s">
        <v>267</v>
      </c>
      <c r="D58" s="1" t="s">
        <v>261</v>
      </c>
      <c r="E58" s="1" t="s">
        <v>25</v>
      </c>
      <c r="F58" s="1" t="s">
        <v>26</v>
      </c>
      <c r="G58" s="22" t="s">
        <v>268</v>
      </c>
      <c r="H58" s="1" t="s">
        <v>269</v>
      </c>
      <c r="I58" s="34" t="e">
        <f>HYPERLINK(DiscoveryTable5[[#This Row],[Case Number]],COUNTIF(#REF!,DiscoveryTable5[[#This Row],[Case Number]]))</f>
        <v>#REF!</v>
      </c>
      <c r="J58" s="28" t="s">
        <v>270</v>
      </c>
    </row>
    <row r="59" spans="1:10" ht="47.25" hidden="1" x14ac:dyDescent="0.25">
      <c r="A59" s="27" t="s">
        <v>271</v>
      </c>
      <c r="B59" s="1" t="s">
        <v>272</v>
      </c>
      <c r="C59" s="1" t="s">
        <v>23</v>
      </c>
      <c r="D59" s="1" t="s">
        <v>261</v>
      </c>
      <c r="E59" s="1" t="s">
        <v>25</v>
      </c>
      <c r="F59" s="1" t="s">
        <v>26</v>
      </c>
      <c r="G59" s="22" t="s">
        <v>273</v>
      </c>
      <c r="H59" s="1" t="s">
        <v>274</v>
      </c>
      <c r="I59" s="34" t="e">
        <f>HYPERLINK(DiscoveryTable5[[#This Row],[Case Number]],COUNTIF(#REF!,DiscoveryTable5[[#This Row],[Case Number]]))</f>
        <v>#REF!</v>
      </c>
      <c r="J59" s="28" t="s">
        <v>275</v>
      </c>
    </row>
    <row r="60" spans="1:10" ht="63" x14ac:dyDescent="0.25">
      <c r="A60" s="27" t="s">
        <v>276</v>
      </c>
      <c r="B60" s="1" t="s">
        <v>277</v>
      </c>
      <c r="C60" s="1" t="s">
        <v>23</v>
      </c>
      <c r="D60" s="1" t="s">
        <v>261</v>
      </c>
      <c r="E60" s="1" t="s">
        <v>25</v>
      </c>
      <c r="F60" s="1" t="s">
        <v>26</v>
      </c>
      <c r="G60" s="22" t="s">
        <v>278</v>
      </c>
      <c r="H60" s="1" t="s">
        <v>279</v>
      </c>
      <c r="I60" s="34" t="e">
        <f>HYPERLINK(DiscoveryTable5[[#This Row],[Case Number]],COUNTIF(#REF!,DiscoveryTable5[[#This Row],[Case Number]]))</f>
        <v>#REF!</v>
      </c>
      <c r="J60" s="28" t="s">
        <v>280</v>
      </c>
    </row>
    <row r="61" spans="1:10" ht="31.5" hidden="1" x14ac:dyDescent="0.25">
      <c r="A61" s="27" t="s">
        <v>281</v>
      </c>
      <c r="B61" s="1" t="s">
        <v>282</v>
      </c>
      <c r="C61" s="1" t="s">
        <v>283</v>
      </c>
      <c r="D61" s="1" t="s">
        <v>261</v>
      </c>
      <c r="E61" s="1" t="s">
        <v>25</v>
      </c>
      <c r="F61" s="1" t="s">
        <v>26</v>
      </c>
      <c r="G61" s="22" t="s">
        <v>284</v>
      </c>
      <c r="H61" s="1" t="s">
        <v>285</v>
      </c>
      <c r="I61" s="34" t="e">
        <f>HYPERLINK(DiscoveryTable5[[#This Row],[Case Number]],COUNTIF(#REF!,DiscoveryTable5[[#This Row],[Case Number]]))</f>
        <v>#REF!</v>
      </c>
      <c r="J61" s="28" t="s">
        <v>286</v>
      </c>
    </row>
    <row r="62" spans="1:10" ht="204.75" hidden="1" x14ac:dyDescent="0.25">
      <c r="A62" s="27" t="s">
        <v>287</v>
      </c>
      <c r="B62" s="1" t="s">
        <v>288</v>
      </c>
      <c r="C62" s="1" t="s">
        <v>23</v>
      </c>
      <c r="D62" s="1" t="s">
        <v>261</v>
      </c>
      <c r="E62" s="1" t="s">
        <v>25</v>
      </c>
      <c r="F62" s="1" t="s">
        <v>26</v>
      </c>
      <c r="G62" s="22" t="s">
        <v>289</v>
      </c>
      <c r="H62" s="1" t="s">
        <v>290</v>
      </c>
      <c r="I62" s="34" t="e">
        <f>HYPERLINK(DiscoveryTable5[[#This Row],[Case Number]],COUNTIF(#REF!,DiscoveryTable5[[#This Row],[Case Number]]))</f>
        <v>#REF!</v>
      </c>
      <c r="J62" s="28" t="s">
        <v>291</v>
      </c>
    </row>
    <row r="63" spans="1:10" ht="47.25" x14ac:dyDescent="0.25">
      <c r="A63" s="27" t="s">
        <v>292</v>
      </c>
      <c r="B63" s="1" t="s">
        <v>293</v>
      </c>
      <c r="C63" s="1" t="s">
        <v>23</v>
      </c>
      <c r="D63" s="1" t="s">
        <v>261</v>
      </c>
      <c r="E63" s="1" t="s">
        <v>25</v>
      </c>
      <c r="F63" s="1" t="s">
        <v>26</v>
      </c>
      <c r="G63" s="22" t="s">
        <v>294</v>
      </c>
      <c r="H63" s="1" t="s">
        <v>295</v>
      </c>
      <c r="I63" s="34" t="e">
        <f>HYPERLINK(DiscoveryTable5[[#This Row],[Case Number]],COUNTIF(#REF!,DiscoveryTable5[[#This Row],[Case Number]]))</f>
        <v>#REF!</v>
      </c>
      <c r="J63" s="28" t="s">
        <v>296</v>
      </c>
    </row>
    <row r="64" spans="1:10" ht="31.5" hidden="1" x14ac:dyDescent="0.25">
      <c r="A64" s="27" t="s">
        <v>297</v>
      </c>
      <c r="B64" s="1" t="s">
        <v>298</v>
      </c>
      <c r="C64" s="1" t="s">
        <v>23</v>
      </c>
      <c r="D64" s="1" t="s">
        <v>261</v>
      </c>
      <c r="E64" s="1" t="s">
        <v>25</v>
      </c>
      <c r="F64" s="1" t="s">
        <v>26</v>
      </c>
      <c r="G64" s="22" t="s">
        <v>299</v>
      </c>
      <c r="H64" s="1" t="s">
        <v>300</v>
      </c>
      <c r="I64" s="34" t="e">
        <f>HYPERLINK(DiscoveryTable5[[#This Row],[Case Number]],COUNTIF(#REF!,DiscoveryTable5[[#This Row],[Case Number]]))</f>
        <v>#REF!</v>
      </c>
      <c r="J64" s="28" t="s">
        <v>301</v>
      </c>
    </row>
    <row r="65" spans="1:10" ht="63" hidden="1" x14ac:dyDescent="0.25">
      <c r="A65" s="27" t="s">
        <v>302</v>
      </c>
      <c r="B65" s="1" t="s">
        <v>303</v>
      </c>
      <c r="C65" s="1" t="s">
        <v>304</v>
      </c>
      <c r="D65" s="1" t="s">
        <v>305</v>
      </c>
      <c r="E65" s="1" t="s">
        <v>25</v>
      </c>
      <c r="F65" s="1" t="s">
        <v>26</v>
      </c>
      <c r="G65" s="22" t="s">
        <v>306</v>
      </c>
      <c r="H65" s="1" t="s">
        <v>307</v>
      </c>
      <c r="I65" s="34" t="e">
        <f>HYPERLINK(DiscoveryTable5[[#This Row],[Case Number]],COUNTIF(#REF!,DiscoveryTable5[[#This Row],[Case Number]]))</f>
        <v>#REF!</v>
      </c>
      <c r="J65" s="28" t="s">
        <v>308</v>
      </c>
    </row>
    <row r="66" spans="1:10" ht="141.75" hidden="1" x14ac:dyDescent="0.25">
      <c r="A66" s="27" t="s">
        <v>309</v>
      </c>
      <c r="B66" s="1" t="s">
        <v>310</v>
      </c>
      <c r="C66" s="1" t="s">
        <v>23</v>
      </c>
      <c r="D66" s="1" t="s">
        <v>305</v>
      </c>
      <c r="E66" s="1" t="s">
        <v>25</v>
      </c>
      <c r="F66" s="1" t="s">
        <v>26</v>
      </c>
      <c r="G66" s="22" t="s">
        <v>311</v>
      </c>
      <c r="H66" s="1" t="s">
        <v>312</v>
      </c>
      <c r="I66" s="34" t="e">
        <f>HYPERLINK(DiscoveryTable5[[#This Row],[Case Number]],COUNTIF(#REF!,DiscoveryTable5[[#This Row],[Case Number]]))</f>
        <v>#REF!</v>
      </c>
      <c r="J66" s="28" t="s">
        <v>313</v>
      </c>
    </row>
    <row r="67" spans="1:10" ht="78.75" hidden="1" x14ac:dyDescent="0.25">
      <c r="A67" s="27" t="s">
        <v>320</v>
      </c>
      <c r="B67" s="1" t="s">
        <v>321</v>
      </c>
      <c r="C67" s="1" t="s">
        <v>23</v>
      </c>
      <c r="D67" s="1" t="s">
        <v>305</v>
      </c>
      <c r="E67" s="1" t="s">
        <v>322</v>
      </c>
      <c r="F67" s="1" t="s">
        <v>323</v>
      </c>
      <c r="G67" s="22" t="s">
        <v>324</v>
      </c>
      <c r="H67" s="1" t="s">
        <v>325</v>
      </c>
      <c r="I67" s="34" t="e">
        <f>HYPERLINK(DiscoveryTable5[[#This Row],[Case Number]],COUNTIF(#REF!,DiscoveryTable5[[#This Row],[Case Number]]))</f>
        <v>#REF!</v>
      </c>
      <c r="J67" s="28" t="s">
        <v>326</v>
      </c>
    </row>
    <row r="68" spans="1:10" ht="31.5" x14ac:dyDescent="0.25">
      <c r="A68" s="27" t="s">
        <v>314</v>
      </c>
      <c r="B68" s="1" t="s">
        <v>315</v>
      </c>
      <c r="C68" s="1" t="s">
        <v>316</v>
      </c>
      <c r="D68" s="1" t="s">
        <v>305</v>
      </c>
      <c r="E68" s="1" t="s">
        <v>25</v>
      </c>
      <c r="F68" s="1" t="s">
        <v>26</v>
      </c>
      <c r="G68" s="22" t="s">
        <v>317</v>
      </c>
      <c r="H68" s="1" t="s">
        <v>318</v>
      </c>
      <c r="I68" s="34" t="e">
        <f>HYPERLINK(DiscoveryTable5[[#This Row],[Case Number]],COUNTIF(#REF!,DiscoveryTable5[[#This Row],[Case Number]]))</f>
        <v>#REF!</v>
      </c>
      <c r="J68" s="28" t="s">
        <v>319</v>
      </c>
    </row>
    <row r="69" spans="1:10" ht="189" x14ac:dyDescent="0.25">
      <c r="A69" s="27" t="s">
        <v>327</v>
      </c>
      <c r="B69" s="1" t="s">
        <v>328</v>
      </c>
      <c r="C69" s="1" t="s">
        <v>23</v>
      </c>
      <c r="D69" s="1" t="s">
        <v>305</v>
      </c>
      <c r="E69" s="1" t="s">
        <v>329</v>
      </c>
      <c r="F69" s="1" t="s">
        <v>330</v>
      </c>
      <c r="G69" s="22" t="s">
        <v>331</v>
      </c>
      <c r="H69" s="1" t="s">
        <v>332</v>
      </c>
      <c r="I69" s="34" t="e">
        <f>HYPERLINK(DiscoveryTable5[[#This Row],[Case Number]],COUNTIF(#REF!,DiscoveryTable5[[#This Row],[Case Number]]))</f>
        <v>#REF!</v>
      </c>
      <c r="J69" s="28" t="s">
        <v>333</v>
      </c>
    </row>
    <row r="70" spans="1:10" ht="409.5" hidden="1" x14ac:dyDescent="0.25">
      <c r="A70" s="27" t="s">
        <v>334</v>
      </c>
      <c r="B70" s="1" t="s">
        <v>335</v>
      </c>
      <c r="C70" s="1" t="s">
        <v>23</v>
      </c>
      <c r="D70" s="1" t="s">
        <v>305</v>
      </c>
      <c r="E70" s="1" t="s">
        <v>25</v>
      </c>
      <c r="F70" s="1" t="s">
        <v>26</v>
      </c>
      <c r="G70" s="22" t="s">
        <v>336</v>
      </c>
      <c r="H70" s="1" t="s">
        <v>337</v>
      </c>
      <c r="I70" s="34" t="e">
        <f>HYPERLINK(DiscoveryTable5[[#This Row],[Case Number]],COUNTIF(#REF!,DiscoveryTable5[[#This Row],[Case Number]]))</f>
        <v>#REF!</v>
      </c>
      <c r="J70" s="28" t="s">
        <v>338</v>
      </c>
    </row>
    <row r="71" spans="1:10" ht="63" x14ac:dyDescent="0.25">
      <c r="A71" s="27" t="s">
        <v>339</v>
      </c>
      <c r="B71" s="1" t="s">
        <v>340</v>
      </c>
      <c r="C71" s="1" t="s">
        <v>23</v>
      </c>
      <c r="D71" s="1" t="s">
        <v>305</v>
      </c>
      <c r="E71" s="1" t="s">
        <v>25</v>
      </c>
      <c r="F71" s="1" t="s">
        <v>26</v>
      </c>
      <c r="G71" s="22" t="s">
        <v>341</v>
      </c>
      <c r="H71" s="1" t="s">
        <v>342</v>
      </c>
      <c r="I71" s="34" t="e">
        <f>HYPERLINK(DiscoveryTable5[[#This Row],[Case Number]],COUNTIF(#REF!,DiscoveryTable5[[#This Row],[Case Number]]))</f>
        <v>#REF!</v>
      </c>
      <c r="J71" s="28" t="s">
        <v>343</v>
      </c>
    </row>
    <row r="72" spans="1:10" ht="267.75" x14ac:dyDescent="0.25">
      <c r="A72" s="27" t="s">
        <v>344</v>
      </c>
      <c r="B72" s="1" t="s">
        <v>345</v>
      </c>
      <c r="C72" s="1" t="s">
        <v>23</v>
      </c>
      <c r="D72" s="1" t="s">
        <v>305</v>
      </c>
      <c r="E72" s="1" t="s">
        <v>25</v>
      </c>
      <c r="F72" s="1" t="s">
        <v>26</v>
      </c>
      <c r="G72" s="22" t="s">
        <v>346</v>
      </c>
      <c r="H72" s="1" t="s">
        <v>347</v>
      </c>
      <c r="I72" s="34" t="e">
        <f>HYPERLINK(DiscoveryTable5[[#This Row],[Case Number]],COUNTIF(#REF!,DiscoveryTable5[[#This Row],[Case Number]]))</f>
        <v>#REF!</v>
      </c>
      <c r="J72" s="28" t="s">
        <v>348</v>
      </c>
    </row>
    <row r="73" spans="1:10" ht="31.5" hidden="1" x14ac:dyDescent="0.25">
      <c r="A73" s="27" t="s">
        <v>349</v>
      </c>
      <c r="B73" s="1" t="s">
        <v>350</v>
      </c>
      <c r="C73" s="1" t="s">
        <v>351</v>
      </c>
      <c r="D73" s="1" t="s">
        <v>305</v>
      </c>
      <c r="E73" s="1" t="s">
        <v>352</v>
      </c>
      <c r="F73" s="1" t="s">
        <v>353</v>
      </c>
      <c r="G73" s="22" t="s">
        <v>354</v>
      </c>
      <c r="H73" s="1" t="s">
        <v>355</v>
      </c>
      <c r="I73" s="34" t="e">
        <f>HYPERLINK(DiscoveryTable5[[#This Row],[Case Number]],COUNTIF(#REF!,DiscoveryTable5[[#This Row],[Case Number]]))</f>
        <v>#REF!</v>
      </c>
      <c r="J73" s="28" t="s">
        <v>356</v>
      </c>
    </row>
    <row r="74" spans="1:10" ht="126" x14ac:dyDescent="0.25">
      <c r="A74" s="27" t="s">
        <v>357</v>
      </c>
      <c r="B74" s="1" t="s">
        <v>358</v>
      </c>
      <c r="C74" s="1" t="s">
        <v>359</v>
      </c>
      <c r="D74" s="1" t="s">
        <v>305</v>
      </c>
      <c r="E74" s="1" t="s">
        <v>34</v>
      </c>
      <c r="F74" s="1" t="s">
        <v>35</v>
      </c>
      <c r="G74" s="22" t="s">
        <v>360</v>
      </c>
      <c r="H74" s="1" t="s">
        <v>361</v>
      </c>
      <c r="I74" s="34" t="e">
        <f>HYPERLINK(DiscoveryTable5[[#This Row],[Case Number]],COUNTIF(#REF!,DiscoveryTable5[[#This Row],[Case Number]]))</f>
        <v>#REF!</v>
      </c>
      <c r="J74" s="28" t="s">
        <v>362</v>
      </c>
    </row>
    <row r="75" spans="1:10" ht="47.25" x14ac:dyDescent="0.25">
      <c r="A75" s="27" t="s">
        <v>363</v>
      </c>
      <c r="B75" s="1" t="s">
        <v>364</v>
      </c>
      <c r="C75" s="1" t="s">
        <v>23</v>
      </c>
      <c r="D75" s="1" t="s">
        <v>305</v>
      </c>
      <c r="E75" s="1" t="s">
        <v>25</v>
      </c>
      <c r="F75" s="1" t="s">
        <v>26</v>
      </c>
      <c r="G75" s="22" t="s">
        <v>365</v>
      </c>
      <c r="H75" s="1" t="s">
        <v>366</v>
      </c>
      <c r="I75" s="34" t="e">
        <f>HYPERLINK(DiscoveryTable5[[#This Row],[Case Number]],COUNTIF(#REF!,DiscoveryTable5[[#This Row],[Case Number]]))</f>
        <v>#REF!</v>
      </c>
      <c r="J75" s="28" t="s">
        <v>367</v>
      </c>
    </row>
    <row r="76" spans="1:10" ht="31.5" x14ac:dyDescent="0.25">
      <c r="A76" s="27" t="s">
        <v>368</v>
      </c>
      <c r="B76" s="1" t="s">
        <v>369</v>
      </c>
      <c r="C76" s="1" t="s">
        <v>23</v>
      </c>
      <c r="D76" s="1" t="s">
        <v>370</v>
      </c>
      <c r="E76" s="1" t="s">
        <v>25</v>
      </c>
      <c r="F76" s="1" t="s">
        <v>26</v>
      </c>
      <c r="G76" s="22" t="s">
        <v>371</v>
      </c>
      <c r="H76" s="1" t="s">
        <v>372</v>
      </c>
      <c r="I76" s="34" t="e">
        <f>HYPERLINK(DiscoveryTable5[[#This Row],[Case Number]],COUNTIF(#REF!,DiscoveryTable5[[#This Row],[Case Number]]))</f>
        <v>#REF!</v>
      </c>
      <c r="J76" s="28" t="s">
        <v>373</v>
      </c>
    </row>
    <row r="77" spans="1:10" ht="47.25" hidden="1" x14ac:dyDescent="0.25">
      <c r="A77" s="27" t="s">
        <v>374</v>
      </c>
      <c r="B77" s="1" t="s">
        <v>375</v>
      </c>
      <c r="C77" s="1" t="s">
        <v>376</v>
      </c>
      <c r="D77" s="1" t="s">
        <v>370</v>
      </c>
      <c r="E77" s="1" t="s">
        <v>25</v>
      </c>
      <c r="F77" s="1" t="s">
        <v>26</v>
      </c>
      <c r="G77" s="22" t="s">
        <v>377</v>
      </c>
      <c r="H77" s="1" t="s">
        <v>378</v>
      </c>
      <c r="I77" s="34" t="e">
        <f>HYPERLINK(DiscoveryTable5[[#This Row],[Case Number]],COUNTIF(#REF!,DiscoveryTable5[[#This Row],[Case Number]]))</f>
        <v>#REF!</v>
      </c>
      <c r="J77" s="28" t="s">
        <v>379</v>
      </c>
    </row>
    <row r="78" spans="1:10" ht="204.75" hidden="1" x14ac:dyDescent="0.25">
      <c r="A78" s="27" t="s">
        <v>578</v>
      </c>
      <c r="B78" s="1" t="s">
        <v>579</v>
      </c>
      <c r="C78" s="1" t="s">
        <v>23</v>
      </c>
      <c r="D78" s="1" t="s">
        <v>574</v>
      </c>
      <c r="E78" s="1" t="s">
        <v>25</v>
      </c>
      <c r="F78" s="1" t="s">
        <v>26</v>
      </c>
      <c r="G78" s="22" t="s">
        <v>580</v>
      </c>
      <c r="H78" s="1" t="s">
        <v>581</v>
      </c>
      <c r="I78" s="34" t="e">
        <f>HYPERLINK(DiscoveryTable5[[#This Row],[Case Number]],COUNTIF(#REF!,DiscoveryTable5[[#This Row],[Case Number]]))</f>
        <v>#REF!</v>
      </c>
      <c r="J78" s="28" t="s">
        <v>582</v>
      </c>
    </row>
    <row r="79" spans="1:10" ht="31.5" x14ac:dyDescent="0.25">
      <c r="A79" s="27" t="s">
        <v>572</v>
      </c>
      <c r="B79" s="1" t="s">
        <v>573</v>
      </c>
      <c r="C79" s="1" t="s">
        <v>23</v>
      </c>
      <c r="D79" s="1" t="s">
        <v>574</v>
      </c>
      <c r="E79" s="1" t="s">
        <v>25</v>
      </c>
      <c r="F79" s="1" t="s">
        <v>26</v>
      </c>
      <c r="G79" s="22" t="s">
        <v>575</v>
      </c>
      <c r="H79" s="1" t="s">
        <v>576</v>
      </c>
      <c r="I79" s="34" t="e">
        <f>HYPERLINK(DiscoveryTable5[[#This Row],[Case Number]],COUNTIF(#REF!,DiscoveryTable5[[#This Row],[Case Number]]))</f>
        <v>#REF!</v>
      </c>
      <c r="J79" s="28" t="s">
        <v>577</v>
      </c>
    </row>
    <row r="80" spans="1:10" ht="110.25" hidden="1" x14ac:dyDescent="0.25">
      <c r="A80" s="27" t="s">
        <v>583</v>
      </c>
      <c r="B80" s="1" t="s">
        <v>584</v>
      </c>
      <c r="C80" s="1" t="s">
        <v>23</v>
      </c>
      <c r="D80" s="1" t="s">
        <v>574</v>
      </c>
      <c r="E80" s="1" t="s">
        <v>34</v>
      </c>
      <c r="F80" s="1" t="s">
        <v>35</v>
      </c>
      <c r="G80" s="22" t="s">
        <v>585</v>
      </c>
      <c r="H80" s="1" t="s">
        <v>586</v>
      </c>
      <c r="I80" s="34" t="e">
        <f>HYPERLINK(DiscoveryTable5[[#This Row],[Case Number]],COUNTIF(#REF!,DiscoveryTable5[[#This Row],[Case Number]]))</f>
        <v>#REF!</v>
      </c>
      <c r="J80" s="28" t="s">
        <v>587</v>
      </c>
    </row>
    <row r="81" spans="1:10" ht="78.75" x14ac:dyDescent="0.25">
      <c r="A81" s="27" t="s">
        <v>588</v>
      </c>
      <c r="B81" s="1" t="s">
        <v>589</v>
      </c>
      <c r="C81" s="1" t="s">
        <v>590</v>
      </c>
      <c r="D81" s="1" t="s">
        <v>574</v>
      </c>
      <c r="E81" s="1" t="s">
        <v>25</v>
      </c>
      <c r="F81" s="1" t="s">
        <v>26</v>
      </c>
      <c r="G81" s="22" t="s">
        <v>591</v>
      </c>
      <c r="H81" s="1" t="s">
        <v>592</v>
      </c>
      <c r="I81" s="34" t="e">
        <f>HYPERLINK(DiscoveryTable5[[#This Row],[Case Number]],COUNTIF(#REF!,DiscoveryTable5[[#This Row],[Case Number]]))</f>
        <v>#REF!</v>
      </c>
      <c r="J81" s="28" t="s">
        <v>593</v>
      </c>
    </row>
    <row r="82" spans="1:10" ht="94.5" hidden="1" x14ac:dyDescent="0.25">
      <c r="A82" s="27" t="s">
        <v>594</v>
      </c>
      <c r="B82" s="1" t="s">
        <v>595</v>
      </c>
      <c r="C82" s="1" t="s">
        <v>23</v>
      </c>
      <c r="D82" s="1" t="s">
        <v>574</v>
      </c>
      <c r="E82" s="1" t="s">
        <v>596</v>
      </c>
      <c r="F82" s="1" t="s">
        <v>597</v>
      </c>
      <c r="G82" s="22" t="s">
        <v>598</v>
      </c>
      <c r="H82" s="1" t="s">
        <v>599</v>
      </c>
      <c r="I82" s="34" t="e">
        <f>HYPERLINK(DiscoveryTable5[[#This Row],[Case Number]],COUNTIF(#REF!,DiscoveryTable5[[#This Row],[Case Number]]))</f>
        <v>#REF!</v>
      </c>
      <c r="J82" s="28" t="s">
        <v>600</v>
      </c>
    </row>
    <row r="83" spans="1:10" ht="31.5" hidden="1" x14ac:dyDescent="0.25">
      <c r="A83" s="27" t="s">
        <v>601</v>
      </c>
      <c r="B83" s="1" t="s">
        <v>602</v>
      </c>
      <c r="C83" s="1" t="s">
        <v>23</v>
      </c>
      <c r="D83" s="1" t="s">
        <v>574</v>
      </c>
      <c r="E83" s="1" t="s">
        <v>25</v>
      </c>
      <c r="F83" s="1" t="s">
        <v>26</v>
      </c>
      <c r="G83" s="22" t="s">
        <v>603</v>
      </c>
      <c r="H83" s="1" t="s">
        <v>604</v>
      </c>
      <c r="I83" s="34" t="e">
        <f>HYPERLINK(DiscoveryTable5[[#This Row],[Case Number]],COUNTIF(#REF!,DiscoveryTable5[[#This Row],[Case Number]]))</f>
        <v>#REF!</v>
      </c>
      <c r="J83" s="28" t="s">
        <v>605</v>
      </c>
    </row>
    <row r="84" spans="1:10" ht="204.75" x14ac:dyDescent="0.25">
      <c r="A84" s="27" t="s">
        <v>606</v>
      </c>
      <c r="B84" s="1" t="s">
        <v>607</v>
      </c>
      <c r="C84" s="1" t="s">
        <v>23</v>
      </c>
      <c r="D84" s="1" t="s">
        <v>574</v>
      </c>
      <c r="E84" s="1" t="s">
        <v>25</v>
      </c>
      <c r="F84" s="1" t="s">
        <v>26</v>
      </c>
      <c r="G84" s="22" t="s">
        <v>608</v>
      </c>
      <c r="H84" s="1" t="s">
        <v>609</v>
      </c>
      <c r="I84" s="34" t="e">
        <f>HYPERLINK(DiscoveryTable5[[#This Row],[Case Number]],COUNTIF(#REF!,DiscoveryTable5[[#This Row],[Case Number]]))</f>
        <v>#REF!</v>
      </c>
      <c r="J84" s="28" t="s">
        <v>610</v>
      </c>
    </row>
    <row r="85" spans="1:10" ht="78.75" x14ac:dyDescent="0.25">
      <c r="A85" s="27" t="s">
        <v>611</v>
      </c>
      <c r="B85" s="1" t="s">
        <v>612</v>
      </c>
      <c r="C85" s="1" t="s">
        <v>613</v>
      </c>
      <c r="D85" s="1" t="s">
        <v>614</v>
      </c>
      <c r="E85" s="1" t="s">
        <v>615</v>
      </c>
      <c r="F85" s="1" t="s">
        <v>616</v>
      </c>
      <c r="G85" s="22" t="s">
        <v>617</v>
      </c>
      <c r="H85" s="1" t="s">
        <v>618</v>
      </c>
      <c r="I85" s="34" t="e">
        <f>HYPERLINK(DiscoveryTable5[[#This Row],[Case Number]],COUNTIF(#REF!,DiscoveryTable5[[#This Row],[Case Number]]))</f>
        <v>#REF!</v>
      </c>
      <c r="J85" s="28" t="s">
        <v>619</v>
      </c>
    </row>
    <row r="86" spans="1:10" ht="110.25" x14ac:dyDescent="0.25">
      <c r="A86" s="27" t="s">
        <v>620</v>
      </c>
      <c r="B86" s="1" t="s">
        <v>621</v>
      </c>
      <c r="C86" s="1" t="s">
        <v>622</v>
      </c>
      <c r="D86" s="1" t="s">
        <v>614</v>
      </c>
      <c r="E86" s="1" t="s">
        <v>25</v>
      </c>
      <c r="F86" s="1" t="s">
        <v>26</v>
      </c>
      <c r="G86" s="22" t="s">
        <v>623</v>
      </c>
      <c r="H86" s="1" t="s">
        <v>624</v>
      </c>
      <c r="I86" s="34" t="e">
        <f>HYPERLINK(DiscoveryTable5[[#This Row],[Case Number]],COUNTIF(#REF!,DiscoveryTable5[[#This Row],[Case Number]]))</f>
        <v>#REF!</v>
      </c>
      <c r="J86" s="28" t="s">
        <v>625</v>
      </c>
    </row>
    <row r="87" spans="1:10" ht="157.5" hidden="1" x14ac:dyDescent="0.25">
      <c r="A87" s="27" t="s">
        <v>626</v>
      </c>
      <c r="B87" s="1" t="s">
        <v>627</v>
      </c>
      <c r="C87" s="1" t="s">
        <v>23</v>
      </c>
      <c r="D87" s="1" t="s">
        <v>614</v>
      </c>
      <c r="E87" s="1" t="s">
        <v>25</v>
      </c>
      <c r="F87" s="1" t="s">
        <v>26</v>
      </c>
      <c r="G87" s="22" t="s">
        <v>628</v>
      </c>
      <c r="H87" s="1" t="s">
        <v>629</v>
      </c>
      <c r="I87" s="34" t="e">
        <f>HYPERLINK(DiscoveryTable5[[#This Row],[Case Number]],COUNTIF(#REF!,DiscoveryTable5[[#This Row],[Case Number]]))</f>
        <v>#REF!</v>
      </c>
      <c r="J87" s="28" t="s">
        <v>630</v>
      </c>
    </row>
    <row r="88" spans="1:10" ht="157.5" hidden="1" x14ac:dyDescent="0.25">
      <c r="A88" s="27" t="s">
        <v>637</v>
      </c>
      <c r="B88" s="1" t="s">
        <v>638</v>
      </c>
      <c r="C88" s="1" t="s">
        <v>23</v>
      </c>
      <c r="D88" s="1" t="s">
        <v>614</v>
      </c>
      <c r="E88" s="1" t="s">
        <v>639</v>
      </c>
      <c r="F88" s="1" t="s">
        <v>640</v>
      </c>
      <c r="G88" s="22" t="s">
        <v>641</v>
      </c>
      <c r="H88" s="1" t="s">
        <v>642</v>
      </c>
      <c r="I88" s="34" t="e">
        <f>HYPERLINK(DiscoveryTable5[[#This Row],[Case Number]],COUNTIF(#REF!,DiscoveryTable5[[#This Row],[Case Number]]))</f>
        <v>#REF!</v>
      </c>
      <c r="J88" s="28" t="s">
        <v>643</v>
      </c>
    </row>
    <row r="89" spans="1:10" ht="78.75" hidden="1" x14ac:dyDescent="0.25">
      <c r="A89" s="27" t="s">
        <v>631</v>
      </c>
      <c r="B89" s="1" t="s">
        <v>632</v>
      </c>
      <c r="C89" s="1" t="s">
        <v>633</v>
      </c>
      <c r="D89" s="1" t="s">
        <v>614</v>
      </c>
      <c r="E89" s="1" t="s">
        <v>25</v>
      </c>
      <c r="F89" s="1" t="s">
        <v>26</v>
      </c>
      <c r="G89" s="22" t="s">
        <v>634</v>
      </c>
      <c r="H89" s="1" t="s">
        <v>635</v>
      </c>
      <c r="I89" s="34" t="e">
        <f>HYPERLINK(DiscoveryTable5[[#This Row],[Case Number]],COUNTIF(#REF!,DiscoveryTable5[[#This Row],[Case Number]]))</f>
        <v>#REF!</v>
      </c>
      <c r="J89" s="28" t="s">
        <v>636</v>
      </c>
    </row>
    <row r="90" spans="1:10" ht="63" x14ac:dyDescent="0.25">
      <c r="A90" s="27" t="s">
        <v>644</v>
      </c>
      <c r="B90" s="1" t="s">
        <v>645</v>
      </c>
      <c r="C90" s="1" t="s">
        <v>646</v>
      </c>
      <c r="D90" s="1" t="s">
        <v>614</v>
      </c>
      <c r="E90" s="1" t="s">
        <v>25</v>
      </c>
      <c r="F90" s="1" t="s">
        <v>26</v>
      </c>
      <c r="G90" s="22" t="s">
        <v>647</v>
      </c>
      <c r="H90" s="1" t="s">
        <v>648</v>
      </c>
      <c r="I90" s="34" t="e">
        <f>HYPERLINK(DiscoveryTable5[[#This Row],[Case Number]],COUNTIF(#REF!,DiscoveryTable5[[#This Row],[Case Number]]))</f>
        <v>#REF!</v>
      </c>
      <c r="J90" s="28" t="s">
        <v>649</v>
      </c>
    </row>
    <row r="91" spans="1:10" ht="63" hidden="1" x14ac:dyDescent="0.25">
      <c r="A91" s="27" t="s">
        <v>650</v>
      </c>
      <c r="B91" s="1" t="s">
        <v>651</v>
      </c>
      <c r="C91" s="1" t="s">
        <v>23</v>
      </c>
      <c r="D91" s="1" t="s">
        <v>614</v>
      </c>
      <c r="E91" s="1" t="s">
        <v>652</v>
      </c>
      <c r="F91" s="1" t="s">
        <v>653</v>
      </c>
      <c r="G91" s="22" t="s">
        <v>654</v>
      </c>
      <c r="H91" s="1" t="s">
        <v>655</v>
      </c>
      <c r="I91" s="34" t="e">
        <f>HYPERLINK(DiscoveryTable5[[#This Row],[Case Number]],COUNTIF(#REF!,DiscoveryTable5[[#This Row],[Case Number]]))</f>
        <v>#REF!</v>
      </c>
      <c r="J91" s="28" t="s">
        <v>656</v>
      </c>
    </row>
    <row r="92" spans="1:10" ht="204.75" x14ac:dyDescent="0.25">
      <c r="A92" s="27" t="s">
        <v>657</v>
      </c>
      <c r="B92" s="1" t="s">
        <v>658</v>
      </c>
      <c r="C92" s="1" t="s">
        <v>23</v>
      </c>
      <c r="D92" s="1" t="s">
        <v>614</v>
      </c>
      <c r="E92" s="1" t="s">
        <v>25</v>
      </c>
      <c r="F92" s="1" t="s">
        <v>26</v>
      </c>
      <c r="G92" s="22" t="s">
        <v>659</v>
      </c>
      <c r="H92" s="1" t="s">
        <v>660</v>
      </c>
      <c r="I92" s="34" t="e">
        <f>HYPERLINK(DiscoveryTable5[[#This Row],[Case Number]],COUNTIF(#REF!,DiscoveryTable5[[#This Row],[Case Number]]))</f>
        <v>#REF!</v>
      </c>
      <c r="J92" s="28" t="s">
        <v>661</v>
      </c>
    </row>
    <row r="93" spans="1:10" ht="173.25" hidden="1" x14ac:dyDescent="0.25">
      <c r="A93" s="27" t="s">
        <v>662</v>
      </c>
      <c r="B93" s="1" t="s">
        <v>663</v>
      </c>
      <c r="C93" s="1" t="s">
        <v>23</v>
      </c>
      <c r="D93" s="1" t="s">
        <v>614</v>
      </c>
      <c r="E93" s="1" t="s">
        <v>25</v>
      </c>
      <c r="F93" s="1" t="s">
        <v>26</v>
      </c>
      <c r="G93" s="22" t="s">
        <v>664</v>
      </c>
      <c r="H93" s="1" t="s">
        <v>665</v>
      </c>
      <c r="I93" s="34" t="e">
        <f>HYPERLINK(DiscoveryTable5[[#This Row],[Case Number]],COUNTIF(#REF!,DiscoveryTable5[[#This Row],[Case Number]]))</f>
        <v>#REF!</v>
      </c>
      <c r="J93" s="28" t="s">
        <v>666</v>
      </c>
    </row>
    <row r="94" spans="1:10" ht="94.5" hidden="1" x14ac:dyDescent="0.25">
      <c r="A94" s="27" t="s">
        <v>667</v>
      </c>
      <c r="B94" s="1" t="s">
        <v>668</v>
      </c>
      <c r="C94" s="1" t="s">
        <v>23</v>
      </c>
      <c r="D94" s="1" t="s">
        <v>614</v>
      </c>
      <c r="E94" s="1" t="s">
        <v>669</v>
      </c>
      <c r="F94" s="1" t="s">
        <v>670</v>
      </c>
      <c r="G94" s="22" t="s">
        <v>671</v>
      </c>
      <c r="H94" s="1" t="s">
        <v>672</v>
      </c>
      <c r="I94" s="34" t="e">
        <f>HYPERLINK(DiscoveryTable5[[#This Row],[Case Number]],COUNTIF(#REF!,DiscoveryTable5[[#This Row],[Case Number]]))</f>
        <v>#REF!</v>
      </c>
      <c r="J94" s="28" t="s">
        <v>673</v>
      </c>
    </row>
    <row r="95" spans="1:10" ht="204.75" hidden="1" x14ac:dyDescent="0.25">
      <c r="A95" s="27" t="s">
        <v>674</v>
      </c>
      <c r="B95" s="1" t="s">
        <v>675</v>
      </c>
      <c r="C95" s="1" t="s">
        <v>23</v>
      </c>
      <c r="D95" s="1" t="s">
        <v>614</v>
      </c>
      <c r="E95" s="1" t="s">
        <v>25</v>
      </c>
      <c r="F95" s="1" t="s">
        <v>26</v>
      </c>
      <c r="G95" s="22" t="s">
        <v>676</v>
      </c>
      <c r="H95" s="1" t="s">
        <v>677</v>
      </c>
      <c r="I95" s="34" t="e">
        <f>HYPERLINK(DiscoveryTable5[[#This Row],[Case Number]],COUNTIF(#REF!,DiscoveryTable5[[#This Row],[Case Number]]))</f>
        <v>#REF!</v>
      </c>
      <c r="J95" s="28" t="s">
        <v>678</v>
      </c>
    </row>
    <row r="96" spans="1:10" ht="15.75" x14ac:dyDescent="0.25">
      <c r="A96" s="27" t="s">
        <v>679</v>
      </c>
      <c r="B96" s="1" t="s">
        <v>680</v>
      </c>
      <c r="C96" s="1" t="s">
        <v>23</v>
      </c>
      <c r="D96" s="1" t="s">
        <v>614</v>
      </c>
      <c r="E96" s="1" t="s">
        <v>25</v>
      </c>
      <c r="F96" s="1" t="s">
        <v>26</v>
      </c>
      <c r="G96" s="22" t="s">
        <v>681</v>
      </c>
      <c r="H96" s="1" t="s">
        <v>682</v>
      </c>
      <c r="I96" s="34" t="e">
        <f>HYPERLINK(DiscoveryTable5[[#This Row],[Case Number]],COUNTIF(#REF!,DiscoveryTable5[[#This Row],[Case Number]]))</f>
        <v>#REF!</v>
      </c>
      <c r="J96" s="28" t="s">
        <v>683</v>
      </c>
    </row>
    <row r="97" spans="1:10" ht="63" x14ac:dyDescent="0.25">
      <c r="A97" s="27" t="s">
        <v>684</v>
      </c>
      <c r="B97" s="1" t="s">
        <v>685</v>
      </c>
      <c r="C97" s="1" t="s">
        <v>23</v>
      </c>
      <c r="D97" s="1" t="s">
        <v>614</v>
      </c>
      <c r="E97" s="1" t="s">
        <v>25</v>
      </c>
      <c r="F97" s="1" t="s">
        <v>26</v>
      </c>
      <c r="G97" s="22" t="s">
        <v>686</v>
      </c>
      <c r="H97" s="1" t="s">
        <v>687</v>
      </c>
      <c r="I97" s="34" t="e">
        <f>HYPERLINK(DiscoveryTable5[[#This Row],[Case Number]],COUNTIF(#REF!,DiscoveryTable5[[#This Row],[Case Number]]))</f>
        <v>#REF!</v>
      </c>
      <c r="J97" s="28" t="s">
        <v>688</v>
      </c>
    </row>
    <row r="98" spans="1:10" ht="204.75" x14ac:dyDescent="0.25">
      <c r="A98" s="27" t="s">
        <v>689</v>
      </c>
      <c r="B98" s="1" t="s">
        <v>690</v>
      </c>
      <c r="C98" s="1" t="s">
        <v>23</v>
      </c>
      <c r="D98" s="1" t="s">
        <v>691</v>
      </c>
      <c r="E98" s="1" t="s">
        <v>25</v>
      </c>
      <c r="F98" s="1" t="s">
        <v>26</v>
      </c>
      <c r="G98" s="22" t="s">
        <v>692</v>
      </c>
      <c r="H98" s="1" t="s">
        <v>693</v>
      </c>
      <c r="I98" s="34" t="e">
        <f>HYPERLINK(DiscoveryTable5[[#This Row],[Case Number]],COUNTIF(#REF!,DiscoveryTable5[[#This Row],[Case Number]]))</f>
        <v>#REF!</v>
      </c>
      <c r="J98" s="28" t="s">
        <v>694</v>
      </c>
    </row>
    <row r="99" spans="1:10" ht="94.5" x14ac:dyDescent="0.25">
      <c r="A99" s="27" t="s">
        <v>695</v>
      </c>
      <c r="B99" s="1" t="s">
        <v>696</v>
      </c>
      <c r="C99" s="1" t="s">
        <v>697</v>
      </c>
      <c r="D99" s="1" t="s">
        <v>698</v>
      </c>
      <c r="E99" s="1" t="s">
        <v>699</v>
      </c>
      <c r="F99" s="1" t="s">
        <v>700</v>
      </c>
      <c r="G99" s="22" t="s">
        <v>701</v>
      </c>
      <c r="H99" s="1" t="s">
        <v>702</v>
      </c>
      <c r="I99" s="34" t="e">
        <f>HYPERLINK(DiscoveryTable5[[#This Row],[Case Number]],COUNTIF(#REF!,DiscoveryTable5[[#This Row],[Case Number]]))</f>
        <v>#REF!</v>
      </c>
      <c r="J99" s="28" t="s">
        <v>703</v>
      </c>
    </row>
    <row r="100" spans="1:10" ht="204.75" hidden="1" x14ac:dyDescent="0.25">
      <c r="A100" s="27" t="s">
        <v>704</v>
      </c>
      <c r="B100" s="1" t="s">
        <v>705</v>
      </c>
      <c r="C100" s="1" t="s">
        <v>23</v>
      </c>
      <c r="D100" s="1" t="s">
        <v>698</v>
      </c>
      <c r="E100" s="1" t="s">
        <v>706</v>
      </c>
      <c r="F100" s="1" t="s">
        <v>707</v>
      </c>
      <c r="G100" s="22" t="s">
        <v>708</v>
      </c>
      <c r="H100" s="1" t="s">
        <v>709</v>
      </c>
      <c r="I100" s="34" t="e">
        <f>HYPERLINK(DiscoveryTable5[[#This Row],[Case Number]],COUNTIF(#REF!,DiscoveryTable5[[#This Row],[Case Number]]))</f>
        <v>#REF!</v>
      </c>
      <c r="J100" s="28" t="s">
        <v>710</v>
      </c>
    </row>
    <row r="101" spans="1:10" ht="126" hidden="1" x14ac:dyDescent="0.25">
      <c r="A101" s="27" t="s">
        <v>711</v>
      </c>
      <c r="B101" s="1" t="s">
        <v>712</v>
      </c>
      <c r="C101" s="1" t="s">
        <v>23</v>
      </c>
      <c r="D101" s="1" t="s">
        <v>713</v>
      </c>
      <c r="E101" s="1" t="s">
        <v>25</v>
      </c>
      <c r="F101" s="1" t="s">
        <v>26</v>
      </c>
      <c r="G101" s="22" t="s">
        <v>714</v>
      </c>
      <c r="H101" s="1" t="s">
        <v>715</v>
      </c>
      <c r="I101" s="34" t="e">
        <f>HYPERLINK(DiscoveryTable5[[#This Row],[Case Number]],COUNTIF(#REF!,DiscoveryTable5[[#This Row],[Case Number]]))</f>
        <v>#REF!</v>
      </c>
      <c r="J101" s="28" t="s">
        <v>716</v>
      </c>
    </row>
    <row r="102" spans="1:10" ht="78.75" hidden="1" x14ac:dyDescent="0.25">
      <c r="A102" s="27" t="s">
        <v>717</v>
      </c>
      <c r="B102" s="1" t="s">
        <v>718</v>
      </c>
      <c r="C102" s="1" t="s">
        <v>23</v>
      </c>
      <c r="D102" s="1" t="s">
        <v>719</v>
      </c>
      <c r="E102" s="1" t="s">
        <v>25</v>
      </c>
      <c r="F102" s="1" t="s">
        <v>26</v>
      </c>
      <c r="G102" s="22" t="s">
        <v>720</v>
      </c>
      <c r="H102" s="1" t="s">
        <v>721</v>
      </c>
      <c r="I102" s="34" t="e">
        <f>HYPERLINK(DiscoveryTable5[[#This Row],[Case Number]],COUNTIF(#REF!,DiscoveryTable5[[#This Row],[Case Number]]))</f>
        <v>#REF!</v>
      </c>
      <c r="J102" s="28" t="s">
        <v>722</v>
      </c>
    </row>
    <row r="103" spans="1:10" ht="15.75" x14ac:dyDescent="0.25">
      <c r="A103" s="27" t="s">
        <v>723</v>
      </c>
      <c r="B103" s="1" t="s">
        <v>724</v>
      </c>
      <c r="C103" s="1" t="s">
        <v>23</v>
      </c>
      <c r="D103" s="1" t="s">
        <v>725</v>
      </c>
      <c r="E103" s="1" t="s">
        <v>25</v>
      </c>
      <c r="F103" s="1" t="s">
        <v>26</v>
      </c>
      <c r="G103" s="22" t="s">
        <v>726</v>
      </c>
      <c r="H103" s="1" t="s">
        <v>727</v>
      </c>
      <c r="I103" s="34" t="e">
        <f>HYPERLINK(DiscoveryTable5[[#This Row],[Case Number]],COUNTIF(#REF!,DiscoveryTable5[[#This Row],[Case Number]]))</f>
        <v>#REF!</v>
      </c>
      <c r="J103" s="28" t="s">
        <v>728</v>
      </c>
    </row>
    <row r="104" spans="1:10" ht="15.75" x14ac:dyDescent="0.25">
      <c r="A104" s="27" t="s">
        <v>729</v>
      </c>
      <c r="B104" s="1" t="s">
        <v>730</v>
      </c>
      <c r="C104" s="1" t="s">
        <v>731</v>
      </c>
      <c r="D104" s="1" t="s">
        <v>725</v>
      </c>
      <c r="E104" s="1" t="s">
        <v>25</v>
      </c>
      <c r="F104" s="1" t="s">
        <v>26</v>
      </c>
      <c r="G104" s="22" t="s">
        <v>726</v>
      </c>
      <c r="H104" s="1" t="s">
        <v>732</v>
      </c>
      <c r="I104" s="34" t="e">
        <f>HYPERLINK(DiscoveryTable5[[#This Row],[Case Number]],COUNTIF(#REF!,DiscoveryTable5[[#This Row],[Case Number]]))</f>
        <v>#REF!</v>
      </c>
      <c r="J104" s="28" t="s">
        <v>733</v>
      </c>
    </row>
    <row r="105" spans="1:10" ht="15.75" x14ac:dyDescent="0.25">
      <c r="A105" s="27" t="s">
        <v>734</v>
      </c>
      <c r="B105" s="1" t="s">
        <v>735</v>
      </c>
      <c r="C105" s="1" t="s">
        <v>736</v>
      </c>
      <c r="D105" s="1" t="s">
        <v>725</v>
      </c>
      <c r="E105" s="1" t="s">
        <v>25</v>
      </c>
      <c r="F105" s="1" t="s">
        <v>26</v>
      </c>
      <c r="G105" s="22" t="s">
        <v>726</v>
      </c>
      <c r="H105" s="1" t="s">
        <v>737</v>
      </c>
      <c r="I105" s="34" t="e">
        <f>HYPERLINK(DiscoveryTable5[[#This Row],[Case Number]],COUNTIF(#REF!,DiscoveryTable5[[#This Row],[Case Number]]))</f>
        <v>#REF!</v>
      </c>
      <c r="J105" s="28" t="s">
        <v>738</v>
      </c>
    </row>
    <row r="106" spans="1:10" ht="15.75" x14ac:dyDescent="0.25">
      <c r="A106" s="27" t="s">
        <v>739</v>
      </c>
      <c r="B106" s="1" t="s">
        <v>740</v>
      </c>
      <c r="C106" s="1" t="s">
        <v>23</v>
      </c>
      <c r="D106" s="1" t="s">
        <v>725</v>
      </c>
      <c r="E106" s="1" t="s">
        <v>25</v>
      </c>
      <c r="F106" s="1" t="s">
        <v>26</v>
      </c>
      <c r="G106" s="22" t="s">
        <v>726</v>
      </c>
      <c r="H106" s="1" t="s">
        <v>741</v>
      </c>
      <c r="I106" s="34" t="e">
        <f>HYPERLINK(DiscoveryTable5[[#This Row],[Case Number]],COUNTIF(#REF!,DiscoveryTable5[[#This Row],[Case Number]]))</f>
        <v>#REF!</v>
      </c>
      <c r="J106" s="28" t="s">
        <v>742</v>
      </c>
    </row>
    <row r="107" spans="1:10" ht="15.75" x14ac:dyDescent="0.25">
      <c r="A107" s="27" t="s">
        <v>743</v>
      </c>
      <c r="B107" s="1" t="s">
        <v>744</v>
      </c>
      <c r="C107" s="1" t="s">
        <v>23</v>
      </c>
      <c r="D107" s="1" t="s">
        <v>725</v>
      </c>
      <c r="E107" s="1" t="s">
        <v>25</v>
      </c>
      <c r="F107" s="1" t="s">
        <v>26</v>
      </c>
      <c r="G107" s="22" t="s">
        <v>726</v>
      </c>
      <c r="H107" s="1" t="s">
        <v>745</v>
      </c>
      <c r="I107" s="34" t="e">
        <f>HYPERLINK(DiscoveryTable5[[#This Row],[Case Number]],COUNTIF(#REF!,DiscoveryTable5[[#This Row],[Case Number]]))</f>
        <v>#REF!</v>
      </c>
      <c r="J107" s="28" t="s">
        <v>746</v>
      </c>
    </row>
    <row r="108" spans="1:10" ht="15.75" x14ac:dyDescent="0.25">
      <c r="A108" s="27" t="s">
        <v>747</v>
      </c>
      <c r="B108" s="1" t="s">
        <v>748</v>
      </c>
      <c r="C108" s="1" t="s">
        <v>23</v>
      </c>
      <c r="D108" s="1" t="s">
        <v>725</v>
      </c>
      <c r="E108" s="1" t="s">
        <v>25</v>
      </c>
      <c r="F108" s="1" t="s">
        <v>26</v>
      </c>
      <c r="G108" s="22" t="s">
        <v>726</v>
      </c>
      <c r="H108" s="1" t="s">
        <v>749</v>
      </c>
      <c r="I108" s="34" t="e">
        <f>HYPERLINK(DiscoveryTable5[[#This Row],[Case Number]],COUNTIF(#REF!,DiscoveryTable5[[#This Row],[Case Number]]))</f>
        <v>#REF!</v>
      </c>
      <c r="J108" s="28" t="s">
        <v>750</v>
      </c>
    </row>
    <row r="109" spans="1:10" ht="15.75" x14ac:dyDescent="0.25">
      <c r="A109" s="27" t="s">
        <v>751</v>
      </c>
      <c r="B109" s="1" t="s">
        <v>752</v>
      </c>
      <c r="C109" s="1" t="s">
        <v>23</v>
      </c>
      <c r="D109" s="1" t="s">
        <v>725</v>
      </c>
      <c r="E109" s="1" t="s">
        <v>25</v>
      </c>
      <c r="F109" s="1" t="s">
        <v>26</v>
      </c>
      <c r="G109" s="22" t="s">
        <v>726</v>
      </c>
      <c r="H109" s="1" t="s">
        <v>753</v>
      </c>
      <c r="I109" s="34" t="e">
        <f>HYPERLINK(DiscoveryTable5[[#This Row],[Case Number]],COUNTIF(#REF!,DiscoveryTable5[[#This Row],[Case Number]]))</f>
        <v>#REF!</v>
      </c>
      <c r="J109" s="28" t="s">
        <v>754</v>
      </c>
    </row>
    <row r="110" spans="1:10" ht="15.75" x14ac:dyDescent="0.25">
      <c r="A110" s="27" t="s">
        <v>755</v>
      </c>
      <c r="B110" s="1" t="s">
        <v>756</v>
      </c>
      <c r="C110" s="1" t="s">
        <v>23</v>
      </c>
      <c r="D110" s="1" t="s">
        <v>725</v>
      </c>
      <c r="E110" s="1" t="s">
        <v>25</v>
      </c>
      <c r="F110" s="1" t="s">
        <v>26</v>
      </c>
      <c r="G110" s="22" t="s">
        <v>726</v>
      </c>
      <c r="H110" s="1" t="s">
        <v>757</v>
      </c>
      <c r="I110" s="34" t="e">
        <f>HYPERLINK(DiscoveryTable5[[#This Row],[Case Number]],COUNTIF(#REF!,DiscoveryTable5[[#This Row],[Case Number]]))</f>
        <v>#REF!</v>
      </c>
      <c r="J110" s="28" t="s">
        <v>758</v>
      </c>
    </row>
    <row r="111" spans="1:10" ht="15.75" x14ac:dyDescent="0.25">
      <c r="A111" s="27" t="s">
        <v>763</v>
      </c>
      <c r="B111" s="1" t="s">
        <v>764</v>
      </c>
      <c r="C111" s="1" t="s">
        <v>23</v>
      </c>
      <c r="D111" s="1" t="s">
        <v>725</v>
      </c>
      <c r="E111" s="1" t="s">
        <v>25</v>
      </c>
      <c r="F111" s="1" t="s">
        <v>26</v>
      </c>
      <c r="G111" s="22" t="s">
        <v>726</v>
      </c>
      <c r="H111" s="1" t="s">
        <v>765</v>
      </c>
      <c r="I111" s="34" t="e">
        <f>HYPERLINK(DiscoveryTable5[[#This Row],[Case Number]],COUNTIF(#REF!,DiscoveryTable5[[#This Row],[Case Number]]))</f>
        <v>#REF!</v>
      </c>
      <c r="J111" s="28" t="s">
        <v>766</v>
      </c>
    </row>
    <row r="112" spans="1:10" ht="15.75" x14ac:dyDescent="0.25">
      <c r="A112" s="27" t="s">
        <v>767</v>
      </c>
      <c r="B112" s="1" t="s">
        <v>768</v>
      </c>
      <c r="C112" s="1" t="s">
        <v>769</v>
      </c>
      <c r="D112" s="1" t="s">
        <v>725</v>
      </c>
      <c r="E112" s="1" t="s">
        <v>25</v>
      </c>
      <c r="F112" s="1" t="s">
        <v>26</v>
      </c>
      <c r="G112" s="22" t="s">
        <v>726</v>
      </c>
      <c r="H112" s="1" t="s">
        <v>770</v>
      </c>
      <c r="I112" s="34" t="e">
        <f>HYPERLINK(DiscoveryTable5[[#This Row],[Case Number]],COUNTIF(#REF!,DiscoveryTable5[[#This Row],[Case Number]]))</f>
        <v>#REF!</v>
      </c>
      <c r="J112" s="28" t="s">
        <v>771</v>
      </c>
    </row>
    <row r="113" spans="1:10" ht="15.75" x14ac:dyDescent="0.25">
      <c r="A113" s="27" t="s">
        <v>772</v>
      </c>
      <c r="B113" s="1" t="s">
        <v>773</v>
      </c>
      <c r="C113" s="1" t="s">
        <v>23</v>
      </c>
      <c r="D113" s="1" t="s">
        <v>725</v>
      </c>
      <c r="E113" s="1" t="s">
        <v>25</v>
      </c>
      <c r="F113" s="1" t="s">
        <v>26</v>
      </c>
      <c r="G113" s="22" t="s">
        <v>726</v>
      </c>
      <c r="H113" s="1" t="s">
        <v>774</v>
      </c>
      <c r="I113" s="34" t="e">
        <f>HYPERLINK(DiscoveryTable5[[#This Row],[Case Number]],COUNTIF(#REF!,DiscoveryTable5[[#This Row],[Case Number]]))</f>
        <v>#REF!</v>
      </c>
      <c r="J113" s="28" t="s">
        <v>775</v>
      </c>
    </row>
    <row r="114" spans="1:10" ht="15.75" x14ac:dyDescent="0.25">
      <c r="A114" s="27" t="s">
        <v>759</v>
      </c>
      <c r="B114" s="1" t="s">
        <v>760</v>
      </c>
      <c r="C114" s="1" t="s">
        <v>23</v>
      </c>
      <c r="D114" s="1" t="s">
        <v>725</v>
      </c>
      <c r="E114" s="1" t="s">
        <v>25</v>
      </c>
      <c r="F114" s="1" t="s">
        <v>26</v>
      </c>
      <c r="G114" s="22" t="s">
        <v>726</v>
      </c>
      <c r="H114" s="1" t="s">
        <v>761</v>
      </c>
      <c r="I114" s="34" t="e">
        <f>HYPERLINK(DiscoveryTable5[[#This Row],[Case Number]],COUNTIF(#REF!,DiscoveryTable5[[#This Row],[Case Number]]))</f>
        <v>#REF!</v>
      </c>
      <c r="J114" s="28" t="s">
        <v>762</v>
      </c>
    </row>
    <row r="115" spans="1:10" ht="15.75" x14ac:dyDescent="0.25">
      <c r="A115" s="27" t="s">
        <v>776</v>
      </c>
      <c r="B115" s="1" t="s">
        <v>777</v>
      </c>
      <c r="C115" s="1" t="s">
        <v>778</v>
      </c>
      <c r="D115" s="1" t="s">
        <v>725</v>
      </c>
      <c r="E115" s="1" t="s">
        <v>25</v>
      </c>
      <c r="F115" s="1" t="s">
        <v>26</v>
      </c>
      <c r="G115" s="22" t="s">
        <v>726</v>
      </c>
      <c r="H115" s="1" t="s">
        <v>779</v>
      </c>
      <c r="I115" s="34" t="e">
        <f>HYPERLINK(DiscoveryTable5[[#This Row],[Case Number]],COUNTIF(#REF!,DiscoveryTable5[[#This Row],[Case Number]]))</f>
        <v>#REF!</v>
      </c>
      <c r="J115" s="28" t="s">
        <v>780</v>
      </c>
    </row>
    <row r="116" spans="1:10" ht="15.75" x14ac:dyDescent="0.25">
      <c r="A116" s="27" t="s">
        <v>781</v>
      </c>
      <c r="B116" s="1" t="s">
        <v>782</v>
      </c>
      <c r="C116" s="1" t="s">
        <v>23</v>
      </c>
      <c r="D116" s="1" t="s">
        <v>725</v>
      </c>
      <c r="E116" s="1" t="s">
        <v>25</v>
      </c>
      <c r="F116" s="1" t="s">
        <v>26</v>
      </c>
      <c r="G116" s="22" t="s">
        <v>726</v>
      </c>
      <c r="H116" s="1" t="s">
        <v>783</v>
      </c>
      <c r="I116" s="34" t="e">
        <f>HYPERLINK(DiscoveryTable5[[#This Row],[Case Number]],COUNTIF(#REF!,DiscoveryTable5[[#This Row],[Case Number]]))</f>
        <v>#REF!</v>
      </c>
      <c r="J116" s="28" t="s">
        <v>784</v>
      </c>
    </row>
    <row r="117" spans="1:10" ht="15.75" x14ac:dyDescent="0.25">
      <c r="A117" s="27" t="s">
        <v>785</v>
      </c>
      <c r="B117" s="1" t="s">
        <v>786</v>
      </c>
      <c r="C117" s="1" t="s">
        <v>23</v>
      </c>
      <c r="D117" s="1" t="s">
        <v>725</v>
      </c>
      <c r="E117" s="1" t="s">
        <v>25</v>
      </c>
      <c r="F117" s="1" t="s">
        <v>26</v>
      </c>
      <c r="G117" s="22" t="s">
        <v>787</v>
      </c>
      <c r="H117" s="1" t="s">
        <v>788</v>
      </c>
      <c r="I117" s="34" t="e">
        <f>HYPERLINK(DiscoveryTable5[[#This Row],[Case Number]],COUNTIF(#REF!,DiscoveryTable5[[#This Row],[Case Number]]))</f>
        <v>#REF!</v>
      </c>
      <c r="J117" s="28" t="s">
        <v>789</v>
      </c>
    </row>
    <row r="118" spans="1:10" ht="15.75" x14ac:dyDescent="0.25">
      <c r="A118" s="27" t="s">
        <v>790</v>
      </c>
      <c r="B118" s="1" t="s">
        <v>791</v>
      </c>
      <c r="C118" s="1" t="s">
        <v>23</v>
      </c>
      <c r="D118" s="1" t="s">
        <v>725</v>
      </c>
      <c r="E118" s="1" t="s">
        <v>25</v>
      </c>
      <c r="F118" s="1" t="s">
        <v>26</v>
      </c>
      <c r="G118" s="22" t="s">
        <v>787</v>
      </c>
      <c r="H118" s="1" t="s">
        <v>792</v>
      </c>
      <c r="I118" s="34" t="e">
        <f>HYPERLINK(DiscoveryTable5[[#This Row],[Case Number]],COUNTIF(#REF!,DiscoveryTable5[[#This Row],[Case Number]]))</f>
        <v>#REF!</v>
      </c>
      <c r="J118" s="28" t="s">
        <v>793</v>
      </c>
    </row>
    <row r="119" spans="1:10" ht="15.75" x14ac:dyDescent="0.25">
      <c r="A119" s="27" t="s">
        <v>794</v>
      </c>
      <c r="B119" s="1" t="s">
        <v>795</v>
      </c>
      <c r="C119" s="1" t="s">
        <v>796</v>
      </c>
      <c r="D119" s="1" t="s">
        <v>725</v>
      </c>
      <c r="E119" s="1" t="s">
        <v>25</v>
      </c>
      <c r="F119" s="1" t="s">
        <v>26</v>
      </c>
      <c r="G119" s="22" t="s">
        <v>787</v>
      </c>
      <c r="H119" s="1" t="s">
        <v>797</v>
      </c>
      <c r="I119" s="34" t="e">
        <f>HYPERLINK(DiscoveryTable5[[#This Row],[Case Number]],COUNTIF(#REF!,DiscoveryTable5[[#This Row],[Case Number]]))</f>
        <v>#REF!</v>
      </c>
      <c r="J119" s="28" t="s">
        <v>798</v>
      </c>
    </row>
    <row r="120" spans="1:10" ht="15.75" x14ac:dyDescent="0.25">
      <c r="A120" s="27" t="s">
        <v>799</v>
      </c>
      <c r="B120" s="1" t="s">
        <v>800</v>
      </c>
      <c r="C120" s="1" t="s">
        <v>801</v>
      </c>
      <c r="D120" s="1" t="s">
        <v>725</v>
      </c>
      <c r="E120" s="1" t="s">
        <v>25</v>
      </c>
      <c r="F120" s="1" t="s">
        <v>26</v>
      </c>
      <c r="G120" s="22" t="s">
        <v>787</v>
      </c>
      <c r="H120" s="1" t="s">
        <v>802</v>
      </c>
      <c r="I120" s="34" t="e">
        <f>HYPERLINK(DiscoveryTable5[[#This Row],[Case Number]],COUNTIF(#REF!,DiscoveryTable5[[#This Row],[Case Number]]))</f>
        <v>#REF!</v>
      </c>
      <c r="J120" s="28" t="s">
        <v>803</v>
      </c>
    </row>
    <row r="121" spans="1:10" ht="15.75" x14ac:dyDescent="0.25">
      <c r="A121" s="27" t="s">
        <v>804</v>
      </c>
      <c r="B121" s="1" t="s">
        <v>805</v>
      </c>
      <c r="C121" s="1" t="s">
        <v>806</v>
      </c>
      <c r="D121" s="1" t="s">
        <v>725</v>
      </c>
      <c r="E121" s="1" t="s">
        <v>25</v>
      </c>
      <c r="F121" s="1" t="s">
        <v>26</v>
      </c>
      <c r="G121" s="22" t="s">
        <v>787</v>
      </c>
      <c r="H121" s="1" t="s">
        <v>807</v>
      </c>
      <c r="I121" s="34" t="e">
        <f>HYPERLINK(DiscoveryTable5[[#This Row],[Case Number]],COUNTIF(#REF!,DiscoveryTable5[[#This Row],[Case Number]]))</f>
        <v>#REF!</v>
      </c>
      <c r="J121" s="28" t="s">
        <v>808</v>
      </c>
    </row>
    <row r="122" spans="1:10" ht="15.75" x14ac:dyDescent="0.25">
      <c r="A122" s="27" t="s">
        <v>809</v>
      </c>
      <c r="B122" s="1" t="s">
        <v>810</v>
      </c>
      <c r="C122" s="1" t="s">
        <v>23</v>
      </c>
      <c r="D122" s="1" t="s">
        <v>725</v>
      </c>
      <c r="E122" s="1" t="s">
        <v>25</v>
      </c>
      <c r="F122" s="1" t="s">
        <v>26</v>
      </c>
      <c r="G122" s="22" t="s">
        <v>787</v>
      </c>
      <c r="H122" s="1" t="s">
        <v>811</v>
      </c>
      <c r="I122" s="34" t="e">
        <f>HYPERLINK(DiscoveryTable5[[#This Row],[Case Number]],COUNTIF(#REF!,DiscoveryTable5[[#This Row],[Case Number]]))</f>
        <v>#REF!</v>
      </c>
      <c r="J122" s="28" t="s">
        <v>812</v>
      </c>
    </row>
    <row r="123" spans="1:10" ht="15.75" x14ac:dyDescent="0.25">
      <c r="A123" s="27" t="s">
        <v>813</v>
      </c>
      <c r="B123" s="1" t="s">
        <v>814</v>
      </c>
      <c r="C123" s="1" t="s">
        <v>23</v>
      </c>
      <c r="D123" s="1" t="s">
        <v>725</v>
      </c>
      <c r="E123" s="1" t="s">
        <v>25</v>
      </c>
      <c r="F123" s="1" t="s">
        <v>26</v>
      </c>
      <c r="G123" s="22" t="s">
        <v>787</v>
      </c>
      <c r="H123" s="1" t="s">
        <v>815</v>
      </c>
      <c r="I123" s="34" t="e">
        <f>HYPERLINK(DiscoveryTable5[[#This Row],[Case Number]],COUNTIF(#REF!,DiscoveryTable5[[#This Row],[Case Number]]))</f>
        <v>#REF!</v>
      </c>
      <c r="J123" s="28" t="s">
        <v>816</v>
      </c>
    </row>
    <row r="124" spans="1:10" ht="15.75" x14ac:dyDescent="0.25">
      <c r="A124" s="27" t="s">
        <v>817</v>
      </c>
      <c r="B124" s="1" t="s">
        <v>818</v>
      </c>
      <c r="C124" s="1" t="s">
        <v>819</v>
      </c>
      <c r="D124" s="1" t="s">
        <v>725</v>
      </c>
      <c r="E124" s="1" t="s">
        <v>25</v>
      </c>
      <c r="F124" s="1" t="s">
        <v>26</v>
      </c>
      <c r="G124" s="22" t="s">
        <v>787</v>
      </c>
      <c r="H124" s="1" t="s">
        <v>820</v>
      </c>
      <c r="I124" s="34" t="e">
        <f>HYPERLINK(DiscoveryTable5[[#This Row],[Case Number]],COUNTIF(#REF!,DiscoveryTable5[[#This Row],[Case Number]]))</f>
        <v>#REF!</v>
      </c>
      <c r="J124" s="28" t="s">
        <v>821</v>
      </c>
    </row>
    <row r="125" spans="1:10" ht="15.75" x14ac:dyDescent="0.25">
      <c r="A125" s="27" t="s">
        <v>822</v>
      </c>
      <c r="B125" s="1" t="s">
        <v>823</v>
      </c>
      <c r="C125" s="1" t="s">
        <v>23</v>
      </c>
      <c r="D125" s="1" t="s">
        <v>725</v>
      </c>
      <c r="E125" s="1" t="s">
        <v>25</v>
      </c>
      <c r="F125" s="1" t="s">
        <v>26</v>
      </c>
      <c r="G125" s="22" t="s">
        <v>787</v>
      </c>
      <c r="H125" s="1" t="s">
        <v>824</v>
      </c>
      <c r="I125" s="34" t="e">
        <f>HYPERLINK(DiscoveryTable5[[#This Row],[Case Number]],COUNTIF(#REF!,DiscoveryTable5[[#This Row],[Case Number]]))</f>
        <v>#REF!</v>
      </c>
      <c r="J125" s="28" t="s">
        <v>825</v>
      </c>
    </row>
    <row r="126" spans="1:10" ht="15.75" x14ac:dyDescent="0.25">
      <c r="A126" s="27" t="s">
        <v>826</v>
      </c>
      <c r="B126" s="1" t="s">
        <v>827</v>
      </c>
      <c r="C126" s="1" t="s">
        <v>828</v>
      </c>
      <c r="D126" s="1" t="s">
        <v>725</v>
      </c>
      <c r="E126" s="1" t="s">
        <v>25</v>
      </c>
      <c r="F126" s="1" t="s">
        <v>26</v>
      </c>
      <c r="G126" s="22" t="s">
        <v>787</v>
      </c>
      <c r="H126" s="1" t="s">
        <v>829</v>
      </c>
      <c r="I126" s="34" t="e">
        <f>HYPERLINK(DiscoveryTable5[[#This Row],[Case Number]],COUNTIF(#REF!,DiscoveryTable5[[#This Row],[Case Number]]))</f>
        <v>#REF!</v>
      </c>
      <c r="J126" s="28" t="s">
        <v>830</v>
      </c>
    </row>
    <row r="127" spans="1:10" ht="15.75" x14ac:dyDescent="0.25">
      <c r="A127" s="27" t="s">
        <v>831</v>
      </c>
      <c r="B127" s="1" t="s">
        <v>832</v>
      </c>
      <c r="C127" s="1" t="s">
        <v>23</v>
      </c>
      <c r="D127" s="1" t="s">
        <v>725</v>
      </c>
      <c r="E127" s="1" t="s">
        <v>25</v>
      </c>
      <c r="F127" s="1" t="s">
        <v>26</v>
      </c>
      <c r="G127" s="22" t="s">
        <v>787</v>
      </c>
      <c r="H127" s="1" t="s">
        <v>833</v>
      </c>
      <c r="I127" s="34" t="e">
        <f>HYPERLINK(DiscoveryTable5[[#This Row],[Case Number]],COUNTIF(#REF!,DiscoveryTable5[[#This Row],[Case Number]]))</f>
        <v>#REF!</v>
      </c>
      <c r="J127" s="28" t="s">
        <v>834</v>
      </c>
    </row>
    <row r="128" spans="1:10" ht="15.75" x14ac:dyDescent="0.25">
      <c r="A128" s="27" t="s">
        <v>835</v>
      </c>
      <c r="B128" s="1" t="s">
        <v>836</v>
      </c>
      <c r="C128" s="1" t="s">
        <v>23</v>
      </c>
      <c r="D128" s="1" t="s">
        <v>725</v>
      </c>
      <c r="E128" s="1" t="s">
        <v>25</v>
      </c>
      <c r="F128" s="1" t="s">
        <v>26</v>
      </c>
      <c r="G128" s="22" t="s">
        <v>787</v>
      </c>
      <c r="H128" s="1" t="s">
        <v>837</v>
      </c>
      <c r="I128" s="34" t="e">
        <f>HYPERLINK(DiscoveryTable5[[#This Row],[Case Number]],COUNTIF(#REF!,DiscoveryTable5[[#This Row],[Case Number]]))</f>
        <v>#REF!</v>
      </c>
      <c r="J128" s="28" t="s">
        <v>838</v>
      </c>
    </row>
    <row r="129" spans="1:10" ht="15.75" x14ac:dyDescent="0.25">
      <c r="A129" s="27" t="s">
        <v>839</v>
      </c>
      <c r="B129" s="1" t="s">
        <v>840</v>
      </c>
      <c r="C129" s="1" t="s">
        <v>841</v>
      </c>
      <c r="D129" s="1" t="s">
        <v>725</v>
      </c>
      <c r="E129" s="1" t="s">
        <v>25</v>
      </c>
      <c r="F129" s="1" t="s">
        <v>26</v>
      </c>
      <c r="G129" s="22" t="s">
        <v>787</v>
      </c>
      <c r="H129" s="1" t="s">
        <v>842</v>
      </c>
      <c r="I129" s="34" t="e">
        <f>HYPERLINK(DiscoveryTable5[[#This Row],[Case Number]],COUNTIF(#REF!,DiscoveryTable5[[#This Row],[Case Number]]))</f>
        <v>#REF!</v>
      </c>
      <c r="J129" s="28" t="s">
        <v>843</v>
      </c>
    </row>
    <row r="130" spans="1:10" ht="15.75" x14ac:dyDescent="0.25">
      <c r="A130" s="27" t="s">
        <v>844</v>
      </c>
      <c r="B130" s="1" t="s">
        <v>845</v>
      </c>
      <c r="C130" s="1" t="s">
        <v>846</v>
      </c>
      <c r="D130" s="1" t="s">
        <v>725</v>
      </c>
      <c r="E130" s="1" t="s">
        <v>25</v>
      </c>
      <c r="F130" s="1" t="s">
        <v>26</v>
      </c>
      <c r="G130" s="22" t="s">
        <v>787</v>
      </c>
      <c r="H130" s="1" t="s">
        <v>847</v>
      </c>
      <c r="I130" s="34" t="e">
        <f>HYPERLINK(DiscoveryTable5[[#This Row],[Case Number]],COUNTIF(#REF!,DiscoveryTable5[[#This Row],[Case Number]]))</f>
        <v>#REF!</v>
      </c>
      <c r="J130" s="28" t="s">
        <v>848</v>
      </c>
    </row>
    <row r="131" spans="1:10" ht="15.75" x14ac:dyDescent="0.25">
      <c r="A131" s="27" t="s">
        <v>849</v>
      </c>
      <c r="B131" s="1" t="s">
        <v>850</v>
      </c>
      <c r="C131" s="1" t="s">
        <v>23</v>
      </c>
      <c r="D131" s="1" t="s">
        <v>725</v>
      </c>
      <c r="E131" s="1" t="s">
        <v>25</v>
      </c>
      <c r="F131" s="1" t="s">
        <v>26</v>
      </c>
      <c r="G131" s="22" t="s">
        <v>787</v>
      </c>
      <c r="H131" s="1" t="s">
        <v>851</v>
      </c>
      <c r="I131" s="34" t="e">
        <f>HYPERLINK(DiscoveryTable5[[#This Row],[Case Number]],COUNTIF(#REF!,DiscoveryTable5[[#This Row],[Case Number]]))</f>
        <v>#REF!</v>
      </c>
      <c r="J131" s="28" t="s">
        <v>852</v>
      </c>
    </row>
    <row r="132" spans="1:10" ht="15.75" x14ac:dyDescent="0.25">
      <c r="A132" s="27" t="s">
        <v>853</v>
      </c>
      <c r="B132" s="1" t="s">
        <v>854</v>
      </c>
      <c r="C132" s="1" t="s">
        <v>855</v>
      </c>
      <c r="D132" s="1" t="s">
        <v>725</v>
      </c>
      <c r="E132" s="1" t="s">
        <v>25</v>
      </c>
      <c r="F132" s="1" t="s">
        <v>26</v>
      </c>
      <c r="G132" s="22" t="s">
        <v>787</v>
      </c>
      <c r="H132" s="1" t="s">
        <v>856</v>
      </c>
      <c r="I132" s="34" t="e">
        <f>HYPERLINK(DiscoveryTable5[[#This Row],[Case Number]],COUNTIF(#REF!,DiscoveryTable5[[#This Row],[Case Number]]))</f>
        <v>#REF!</v>
      </c>
      <c r="J132" s="28" t="s">
        <v>857</v>
      </c>
    </row>
    <row r="133" spans="1:10" ht="15.75" x14ac:dyDescent="0.25">
      <c r="A133" s="27" t="s">
        <v>862</v>
      </c>
      <c r="B133" s="1" t="s">
        <v>863</v>
      </c>
      <c r="C133" s="1" t="s">
        <v>864</v>
      </c>
      <c r="D133" s="1" t="s">
        <v>725</v>
      </c>
      <c r="E133" s="1" t="s">
        <v>25</v>
      </c>
      <c r="F133" s="1" t="s">
        <v>26</v>
      </c>
      <c r="G133" s="22" t="s">
        <v>787</v>
      </c>
      <c r="H133" s="1" t="s">
        <v>865</v>
      </c>
      <c r="I133" s="34" t="e">
        <f>HYPERLINK(DiscoveryTable5[[#This Row],[Case Number]],COUNTIF(#REF!,DiscoveryTable5[[#This Row],[Case Number]]))</f>
        <v>#REF!</v>
      </c>
      <c r="J133" s="28" t="s">
        <v>866</v>
      </c>
    </row>
    <row r="134" spans="1:10" ht="15.75" x14ac:dyDescent="0.25">
      <c r="A134" s="27" t="s">
        <v>858</v>
      </c>
      <c r="B134" s="1" t="s">
        <v>859</v>
      </c>
      <c r="C134" s="1" t="s">
        <v>23</v>
      </c>
      <c r="D134" s="1" t="s">
        <v>725</v>
      </c>
      <c r="E134" s="1" t="s">
        <v>25</v>
      </c>
      <c r="F134" s="1" t="s">
        <v>26</v>
      </c>
      <c r="G134" s="22" t="s">
        <v>787</v>
      </c>
      <c r="H134" s="1" t="s">
        <v>860</v>
      </c>
      <c r="I134" s="34" t="e">
        <f>HYPERLINK(DiscoveryTable5[[#This Row],[Case Number]],COUNTIF(#REF!,DiscoveryTable5[[#This Row],[Case Number]]))</f>
        <v>#REF!</v>
      </c>
      <c r="J134" s="28" t="s">
        <v>861</v>
      </c>
    </row>
    <row r="135" spans="1:10" ht="15.75" x14ac:dyDescent="0.25">
      <c r="A135" s="27" t="s">
        <v>867</v>
      </c>
      <c r="B135" s="1" t="s">
        <v>868</v>
      </c>
      <c r="C135" s="1" t="s">
        <v>23</v>
      </c>
      <c r="D135" s="1" t="s">
        <v>725</v>
      </c>
      <c r="E135" s="1" t="s">
        <v>25</v>
      </c>
      <c r="F135" s="1" t="s">
        <v>26</v>
      </c>
      <c r="G135" s="22" t="s">
        <v>787</v>
      </c>
      <c r="H135" s="1" t="s">
        <v>869</v>
      </c>
      <c r="I135" s="34" t="e">
        <f>HYPERLINK(DiscoveryTable5[[#This Row],[Case Number]],COUNTIF(#REF!,DiscoveryTable5[[#This Row],[Case Number]]))</f>
        <v>#REF!</v>
      </c>
      <c r="J135" s="28" t="s">
        <v>870</v>
      </c>
    </row>
    <row r="136" spans="1:10" ht="15.75" x14ac:dyDescent="0.25">
      <c r="A136" s="27" t="s">
        <v>871</v>
      </c>
      <c r="B136" s="1" t="s">
        <v>872</v>
      </c>
      <c r="C136" s="1" t="s">
        <v>23</v>
      </c>
      <c r="D136" s="1" t="s">
        <v>725</v>
      </c>
      <c r="E136" s="1" t="s">
        <v>25</v>
      </c>
      <c r="F136" s="1" t="s">
        <v>26</v>
      </c>
      <c r="G136" s="22" t="s">
        <v>787</v>
      </c>
      <c r="H136" s="1" t="s">
        <v>873</v>
      </c>
      <c r="I136" s="34" t="e">
        <f>HYPERLINK(DiscoveryTable5[[#This Row],[Case Number]],COUNTIF(#REF!,DiscoveryTable5[[#This Row],[Case Number]]))</f>
        <v>#REF!</v>
      </c>
      <c r="J136" s="28" t="s">
        <v>874</v>
      </c>
    </row>
    <row r="137" spans="1:10" ht="141.75" hidden="1" x14ac:dyDescent="0.25">
      <c r="A137" s="27" t="s">
        <v>875</v>
      </c>
      <c r="B137" s="1" t="s">
        <v>876</v>
      </c>
      <c r="C137" s="1" t="s">
        <v>23</v>
      </c>
      <c r="D137" s="1" t="s">
        <v>877</v>
      </c>
      <c r="E137" s="1" t="s">
        <v>878</v>
      </c>
      <c r="F137" s="1" t="s">
        <v>879</v>
      </c>
      <c r="G137" s="22" t="s">
        <v>880</v>
      </c>
      <c r="H137" s="1" t="s">
        <v>881</v>
      </c>
      <c r="I137" s="34" t="e">
        <f>HYPERLINK(DiscoveryTable5[[#This Row],[Case Number]],COUNTIF(#REF!,DiscoveryTable5[[#This Row],[Case Number]]))</f>
        <v>#REF!</v>
      </c>
      <c r="J137" s="28" t="s">
        <v>882</v>
      </c>
    </row>
    <row r="138" spans="1:10" ht="204.75" x14ac:dyDescent="0.25">
      <c r="A138" s="27" t="s">
        <v>883</v>
      </c>
      <c r="B138" s="1" t="s">
        <v>884</v>
      </c>
      <c r="C138" s="1" t="s">
        <v>23</v>
      </c>
      <c r="D138" s="1" t="s">
        <v>877</v>
      </c>
      <c r="E138" s="1" t="s">
        <v>885</v>
      </c>
      <c r="F138" s="1" t="s">
        <v>886</v>
      </c>
      <c r="G138" s="22" t="s">
        <v>887</v>
      </c>
      <c r="H138" s="1" t="s">
        <v>888</v>
      </c>
      <c r="I138" s="34" t="e">
        <f>HYPERLINK(DiscoveryTable5[[#This Row],[Case Number]],COUNTIF(#REF!,DiscoveryTable5[[#This Row],[Case Number]]))</f>
        <v>#REF!</v>
      </c>
      <c r="J138" s="28" t="s">
        <v>889</v>
      </c>
    </row>
    <row r="139" spans="1:10" ht="15.75" x14ac:dyDescent="0.25">
      <c r="A139" s="27" t="s">
        <v>890</v>
      </c>
      <c r="B139" s="1" t="s">
        <v>891</v>
      </c>
      <c r="C139" s="1" t="s">
        <v>23</v>
      </c>
      <c r="D139" s="1" t="s">
        <v>892</v>
      </c>
      <c r="E139" s="1" t="s">
        <v>25</v>
      </c>
      <c r="F139" s="1" t="s">
        <v>26</v>
      </c>
      <c r="G139" s="22" t="s">
        <v>787</v>
      </c>
      <c r="H139" s="1" t="s">
        <v>893</v>
      </c>
      <c r="I139" s="34" t="e">
        <f>HYPERLINK(DiscoveryTable5[[#This Row],[Case Number]],COUNTIF(#REF!,DiscoveryTable5[[#This Row],[Case Number]]))</f>
        <v>#REF!</v>
      </c>
      <c r="J139" s="28" t="s">
        <v>894</v>
      </c>
    </row>
    <row r="140" spans="1:10" ht="15.75" x14ac:dyDescent="0.25">
      <c r="A140" s="27" t="s">
        <v>895</v>
      </c>
      <c r="B140" s="1" t="s">
        <v>896</v>
      </c>
      <c r="C140" s="1" t="s">
        <v>897</v>
      </c>
      <c r="D140" s="1" t="s">
        <v>892</v>
      </c>
      <c r="E140" s="1" t="s">
        <v>25</v>
      </c>
      <c r="F140" s="1" t="s">
        <v>26</v>
      </c>
      <c r="G140" s="22" t="s">
        <v>787</v>
      </c>
      <c r="H140" s="1" t="s">
        <v>898</v>
      </c>
      <c r="I140" s="34" t="e">
        <f>HYPERLINK(DiscoveryTable5[[#This Row],[Case Number]],COUNTIF(#REF!,DiscoveryTable5[[#This Row],[Case Number]]))</f>
        <v>#REF!</v>
      </c>
      <c r="J140" s="28" t="s">
        <v>899</v>
      </c>
    </row>
    <row r="141" spans="1:10" ht="15.75" x14ac:dyDescent="0.25">
      <c r="A141" s="27" t="s">
        <v>900</v>
      </c>
      <c r="B141" s="1" t="s">
        <v>901</v>
      </c>
      <c r="C141" s="1" t="s">
        <v>23</v>
      </c>
      <c r="D141" s="1" t="s">
        <v>892</v>
      </c>
      <c r="E141" s="1" t="s">
        <v>25</v>
      </c>
      <c r="F141" s="1" t="s">
        <v>26</v>
      </c>
      <c r="G141" s="22" t="s">
        <v>787</v>
      </c>
      <c r="H141" s="1" t="s">
        <v>902</v>
      </c>
      <c r="I141" s="34" t="e">
        <f>HYPERLINK(DiscoveryTable5[[#This Row],[Case Number]],COUNTIF(#REF!,DiscoveryTable5[[#This Row],[Case Number]]))</f>
        <v>#REF!</v>
      </c>
      <c r="J141" s="28" t="s">
        <v>903</v>
      </c>
    </row>
    <row r="142" spans="1:10" ht="15.75" x14ac:dyDescent="0.25">
      <c r="A142" s="27" t="s">
        <v>904</v>
      </c>
      <c r="B142" s="1" t="s">
        <v>905</v>
      </c>
      <c r="C142" s="1" t="s">
        <v>906</v>
      </c>
      <c r="D142" s="1" t="s">
        <v>892</v>
      </c>
      <c r="E142" s="1" t="s">
        <v>25</v>
      </c>
      <c r="F142" s="1" t="s">
        <v>26</v>
      </c>
      <c r="G142" s="22" t="s">
        <v>787</v>
      </c>
      <c r="H142" s="1" t="s">
        <v>907</v>
      </c>
      <c r="I142" s="34" t="e">
        <f>HYPERLINK(DiscoveryTable5[[#This Row],[Case Number]],COUNTIF(#REF!,DiscoveryTable5[[#This Row],[Case Number]]))</f>
        <v>#REF!</v>
      </c>
      <c r="J142" s="28" t="s">
        <v>908</v>
      </c>
    </row>
    <row r="143" spans="1:10" ht="15.75" x14ac:dyDescent="0.25">
      <c r="A143" s="27" t="s">
        <v>909</v>
      </c>
      <c r="B143" s="1" t="s">
        <v>910</v>
      </c>
      <c r="C143" s="1" t="s">
        <v>23</v>
      </c>
      <c r="D143" s="1" t="s">
        <v>892</v>
      </c>
      <c r="E143" s="1" t="s">
        <v>25</v>
      </c>
      <c r="F143" s="1" t="s">
        <v>26</v>
      </c>
      <c r="G143" s="22" t="s">
        <v>787</v>
      </c>
      <c r="H143" s="1" t="s">
        <v>911</v>
      </c>
      <c r="I143" s="34" t="e">
        <f>HYPERLINK(DiscoveryTable5[[#This Row],[Case Number]],COUNTIF(#REF!,DiscoveryTable5[[#This Row],[Case Number]]))</f>
        <v>#REF!</v>
      </c>
      <c r="J143" s="28" t="s">
        <v>912</v>
      </c>
    </row>
    <row r="144" spans="1:10" ht="15.75" x14ac:dyDescent="0.25">
      <c r="A144" s="27" t="s">
        <v>913</v>
      </c>
      <c r="B144" s="1" t="s">
        <v>914</v>
      </c>
      <c r="C144" s="1" t="s">
        <v>23</v>
      </c>
      <c r="D144" s="1" t="s">
        <v>892</v>
      </c>
      <c r="E144" s="1" t="s">
        <v>25</v>
      </c>
      <c r="F144" s="1" t="s">
        <v>26</v>
      </c>
      <c r="G144" s="22" t="s">
        <v>787</v>
      </c>
      <c r="H144" s="1" t="s">
        <v>915</v>
      </c>
      <c r="I144" s="34" t="e">
        <f>HYPERLINK(DiscoveryTable5[[#This Row],[Case Number]],COUNTIF(#REF!,DiscoveryTable5[[#This Row],[Case Number]]))</f>
        <v>#REF!</v>
      </c>
      <c r="J144" s="28" t="s">
        <v>916</v>
      </c>
    </row>
    <row r="145" spans="1:10" ht="220.5" x14ac:dyDescent="0.25">
      <c r="A145" s="27" t="s">
        <v>917</v>
      </c>
      <c r="B145" s="1" t="s">
        <v>918</v>
      </c>
      <c r="C145" s="1" t="s">
        <v>23</v>
      </c>
      <c r="D145" s="1" t="s">
        <v>892</v>
      </c>
      <c r="E145" s="1" t="s">
        <v>919</v>
      </c>
      <c r="F145" s="1" t="s">
        <v>920</v>
      </c>
      <c r="G145" s="22" t="s">
        <v>921</v>
      </c>
      <c r="H145" s="1" t="s">
        <v>922</v>
      </c>
      <c r="I145" s="34" t="e">
        <f>HYPERLINK(DiscoveryTable5[[#This Row],[Case Number]],COUNTIF(#REF!,DiscoveryTable5[[#This Row],[Case Number]]))</f>
        <v>#REF!</v>
      </c>
      <c r="J145" s="28" t="s">
        <v>923</v>
      </c>
    </row>
    <row r="146" spans="1:10" ht="204.75" hidden="1" x14ac:dyDescent="0.25">
      <c r="A146" s="27" t="s">
        <v>930</v>
      </c>
      <c r="B146" s="1" t="s">
        <v>931</v>
      </c>
      <c r="C146" s="1" t="s">
        <v>23</v>
      </c>
      <c r="D146" s="1" t="s">
        <v>926</v>
      </c>
      <c r="E146" s="1" t="s">
        <v>25</v>
      </c>
      <c r="F146" s="1" t="s">
        <v>26</v>
      </c>
      <c r="G146" s="22" t="s">
        <v>932</v>
      </c>
      <c r="H146" s="1" t="s">
        <v>933</v>
      </c>
      <c r="I146" s="34" t="e">
        <f>HYPERLINK(DiscoveryTable5[[#This Row],[Case Number]],COUNTIF(#REF!,DiscoveryTable5[[#This Row],[Case Number]]))</f>
        <v>#REF!</v>
      </c>
      <c r="J146" s="28" t="s">
        <v>934</v>
      </c>
    </row>
    <row r="147" spans="1:10" ht="15.75" x14ac:dyDescent="0.25">
      <c r="A147" s="27" t="s">
        <v>924</v>
      </c>
      <c r="B147" s="1" t="s">
        <v>925</v>
      </c>
      <c r="C147" s="1" t="s">
        <v>23</v>
      </c>
      <c r="D147" s="1" t="s">
        <v>926</v>
      </c>
      <c r="E147" s="1" t="s">
        <v>25</v>
      </c>
      <c r="F147" s="1" t="s">
        <v>26</v>
      </c>
      <c r="G147" s="22" t="s">
        <v>927</v>
      </c>
      <c r="H147" s="1" t="s">
        <v>928</v>
      </c>
      <c r="I147" s="34" t="e">
        <f>HYPERLINK(DiscoveryTable5[[#This Row],[Case Number]],COUNTIF(#REF!,DiscoveryTable5[[#This Row],[Case Number]]))</f>
        <v>#REF!</v>
      </c>
      <c r="J147" s="28" t="s">
        <v>929</v>
      </c>
    </row>
    <row r="148" spans="1:10" ht="78.75" hidden="1" x14ac:dyDescent="0.25">
      <c r="A148" s="27" t="s">
        <v>935</v>
      </c>
      <c r="B148" s="1" t="s">
        <v>936</v>
      </c>
      <c r="C148" s="1" t="s">
        <v>23</v>
      </c>
      <c r="D148" s="1" t="s">
        <v>937</v>
      </c>
      <c r="E148" s="1" t="s">
        <v>25</v>
      </c>
      <c r="F148" s="1" t="s">
        <v>26</v>
      </c>
      <c r="G148" s="22" t="s">
        <v>938</v>
      </c>
      <c r="H148" s="1" t="s">
        <v>939</v>
      </c>
      <c r="I148" s="34" t="e">
        <f>HYPERLINK(DiscoveryTable5[[#This Row],[Case Number]],COUNTIF(#REF!,DiscoveryTable5[[#This Row],[Case Number]]))</f>
        <v>#REF!</v>
      </c>
      <c r="J148" s="28" t="s">
        <v>940</v>
      </c>
    </row>
    <row r="149" spans="1:10" ht="15.75" x14ac:dyDescent="0.25">
      <c r="A149" s="27" t="s">
        <v>941</v>
      </c>
      <c r="B149" s="1" t="s">
        <v>942</v>
      </c>
      <c r="C149" s="1" t="s">
        <v>943</v>
      </c>
      <c r="D149" s="1" t="s">
        <v>944</v>
      </c>
      <c r="E149" s="1" t="s">
        <v>25</v>
      </c>
      <c r="F149" s="1" t="s">
        <v>26</v>
      </c>
      <c r="G149" s="22" t="s">
        <v>945</v>
      </c>
      <c r="H149" s="1" t="s">
        <v>946</v>
      </c>
      <c r="I149" s="34" t="e">
        <f>HYPERLINK(DiscoveryTable5[[#This Row],[Case Number]],COUNTIF(#REF!,DiscoveryTable5[[#This Row],[Case Number]]))</f>
        <v>#REF!</v>
      </c>
      <c r="J149" s="28" t="s">
        <v>947</v>
      </c>
    </row>
    <row r="150" spans="1:10" ht="47.25" hidden="1" x14ac:dyDescent="0.25">
      <c r="A150" s="27" t="s">
        <v>948</v>
      </c>
      <c r="B150" s="1" t="s">
        <v>949</v>
      </c>
      <c r="C150" s="1" t="s">
        <v>23</v>
      </c>
      <c r="D150" s="1" t="s">
        <v>950</v>
      </c>
      <c r="E150" s="1" t="s">
        <v>951</v>
      </c>
      <c r="F150" s="1" t="s">
        <v>952</v>
      </c>
      <c r="G150" s="22" t="s">
        <v>953</v>
      </c>
      <c r="H150" s="1" t="s">
        <v>954</v>
      </c>
      <c r="I150" s="34" t="e">
        <f>HYPERLINK(DiscoveryTable5[[#This Row],[Case Number]],COUNTIF(#REF!,DiscoveryTable5[[#This Row],[Case Number]]))</f>
        <v>#REF!</v>
      </c>
      <c r="J150" s="28" t="s">
        <v>955</v>
      </c>
    </row>
    <row r="151" spans="1:10" ht="47.25" hidden="1" x14ac:dyDescent="0.25">
      <c r="A151" s="27" t="s">
        <v>956</v>
      </c>
      <c r="B151" s="1" t="s">
        <v>957</v>
      </c>
      <c r="C151" s="1" t="s">
        <v>23</v>
      </c>
      <c r="D151" s="1" t="s">
        <v>950</v>
      </c>
      <c r="E151" s="1" t="s">
        <v>951</v>
      </c>
      <c r="F151" s="1" t="s">
        <v>952</v>
      </c>
      <c r="G151" s="22" t="s">
        <v>958</v>
      </c>
      <c r="H151" s="1" t="s">
        <v>959</v>
      </c>
      <c r="I151" s="34" t="e">
        <f>HYPERLINK(DiscoveryTable5[[#This Row],[Case Number]],COUNTIF(#REF!,DiscoveryTable5[[#This Row],[Case Number]]))</f>
        <v>#REF!</v>
      </c>
      <c r="J151" s="28" t="s">
        <v>960</v>
      </c>
    </row>
    <row r="152" spans="1:10" ht="47.25" x14ac:dyDescent="0.25">
      <c r="A152" s="27" t="s">
        <v>961</v>
      </c>
      <c r="B152" s="1" t="s">
        <v>962</v>
      </c>
      <c r="C152" s="1" t="s">
        <v>23</v>
      </c>
      <c r="D152" s="1" t="s">
        <v>963</v>
      </c>
      <c r="E152" s="1" t="s">
        <v>25</v>
      </c>
      <c r="F152" s="1" t="s">
        <v>26</v>
      </c>
      <c r="G152" s="22" t="s">
        <v>964</v>
      </c>
      <c r="H152" s="1" t="s">
        <v>965</v>
      </c>
      <c r="I152" s="34" t="e">
        <f>HYPERLINK(DiscoveryTable5[[#This Row],[Case Number]],COUNTIF(#REF!,DiscoveryTable5[[#This Row],[Case Number]]))</f>
        <v>#REF!</v>
      </c>
      <c r="J152" s="28" t="s">
        <v>966</v>
      </c>
    </row>
    <row r="153" spans="1:10" ht="15.75" hidden="1" x14ac:dyDescent="0.25">
      <c r="A153" s="27" t="s">
        <v>967</v>
      </c>
      <c r="B153" s="1" t="s">
        <v>968</v>
      </c>
      <c r="C153" s="1" t="s">
        <v>969</v>
      </c>
      <c r="D153" s="1" t="s">
        <v>963</v>
      </c>
      <c r="E153" s="1" t="s">
        <v>25</v>
      </c>
      <c r="F153" s="1" t="s">
        <v>26</v>
      </c>
      <c r="G153" s="22" t="s">
        <v>970</v>
      </c>
      <c r="H153" s="1" t="s">
        <v>971</v>
      </c>
      <c r="I153" s="34" t="e">
        <f>HYPERLINK(DiscoveryTable5[[#This Row],[Case Number]],COUNTIF(#REF!,DiscoveryTable5[[#This Row],[Case Number]]))</f>
        <v>#REF!</v>
      </c>
      <c r="J153" s="28" t="s">
        <v>972</v>
      </c>
    </row>
    <row r="154" spans="1:10" ht="157.5" hidden="1" x14ac:dyDescent="0.25">
      <c r="A154" s="27" t="s">
        <v>973</v>
      </c>
      <c r="B154" s="1" t="s">
        <v>974</v>
      </c>
      <c r="C154" s="1" t="s">
        <v>23</v>
      </c>
      <c r="D154" s="1" t="s">
        <v>963</v>
      </c>
      <c r="E154" s="1" t="s">
        <v>975</v>
      </c>
      <c r="F154" s="1" t="s">
        <v>976</v>
      </c>
      <c r="G154" s="22" t="s">
        <v>977</v>
      </c>
      <c r="H154" s="1" t="s">
        <v>978</v>
      </c>
      <c r="I154" s="34" t="e">
        <f>HYPERLINK(DiscoveryTable5[[#This Row],[Case Number]],COUNTIF(#REF!,DiscoveryTable5[[#This Row],[Case Number]]))</f>
        <v>#REF!</v>
      </c>
      <c r="J154" s="28" t="s">
        <v>979</v>
      </c>
    </row>
    <row r="155" spans="1:10" ht="63" hidden="1" x14ac:dyDescent="0.25">
      <c r="A155" s="27" t="s">
        <v>980</v>
      </c>
      <c r="B155" s="1" t="s">
        <v>981</v>
      </c>
      <c r="C155" s="1" t="s">
        <v>23</v>
      </c>
      <c r="D155" s="1" t="s">
        <v>982</v>
      </c>
      <c r="E155" s="1" t="s">
        <v>25</v>
      </c>
      <c r="F155" s="1" t="s">
        <v>26</v>
      </c>
      <c r="G155" s="22" t="s">
        <v>983</v>
      </c>
      <c r="H155" s="1" t="s">
        <v>984</v>
      </c>
      <c r="I155" s="34" t="e">
        <f>HYPERLINK(DiscoveryTable5[[#This Row],[Case Number]],COUNTIF(#REF!,DiscoveryTable5[[#This Row],[Case Number]]))</f>
        <v>#REF!</v>
      </c>
      <c r="J155" s="28" t="s">
        <v>985</v>
      </c>
    </row>
    <row r="156" spans="1:10" ht="220.5" hidden="1" x14ac:dyDescent="0.25">
      <c r="A156" s="27" t="s">
        <v>986</v>
      </c>
      <c r="B156" s="1" t="s">
        <v>987</v>
      </c>
      <c r="C156" s="1" t="s">
        <v>988</v>
      </c>
      <c r="D156" s="1" t="s">
        <v>989</v>
      </c>
      <c r="E156" s="1" t="s">
        <v>990</v>
      </c>
      <c r="F156" s="1" t="s">
        <v>991</v>
      </c>
      <c r="G156" s="22" t="s">
        <v>992</v>
      </c>
      <c r="H156" s="1" t="s">
        <v>993</v>
      </c>
      <c r="I156" s="34" t="e">
        <f>HYPERLINK(DiscoveryTable5[[#This Row],[Case Number]],COUNTIF(#REF!,DiscoveryTable5[[#This Row],[Case Number]]))</f>
        <v>#REF!</v>
      </c>
      <c r="J156" s="28" t="s">
        <v>994</v>
      </c>
    </row>
    <row r="157" spans="1:10" ht="15.75" x14ac:dyDescent="0.25">
      <c r="A157" s="27" t="s">
        <v>995</v>
      </c>
      <c r="B157" s="1" t="s">
        <v>996</v>
      </c>
      <c r="C157" s="1" t="s">
        <v>23</v>
      </c>
      <c r="D157" s="1" t="s">
        <v>989</v>
      </c>
      <c r="E157" s="1" t="s">
        <v>25</v>
      </c>
      <c r="F157" s="1" t="s">
        <v>26</v>
      </c>
      <c r="G157" s="22" t="s">
        <v>997</v>
      </c>
      <c r="H157" s="1" t="s">
        <v>998</v>
      </c>
      <c r="I157" s="34" t="e">
        <f>HYPERLINK(DiscoveryTable5[[#This Row],[Case Number]],COUNTIF(#REF!,DiscoveryTable5[[#This Row],[Case Number]]))</f>
        <v>#REF!</v>
      </c>
      <c r="J157" s="28" t="s">
        <v>999</v>
      </c>
    </row>
    <row r="158" spans="1:10" ht="15.75" x14ac:dyDescent="0.25">
      <c r="A158" s="27" t="s">
        <v>1000</v>
      </c>
      <c r="B158" s="1" t="s">
        <v>1001</v>
      </c>
      <c r="C158" s="1" t="s">
        <v>23</v>
      </c>
      <c r="D158" s="1" t="s">
        <v>989</v>
      </c>
      <c r="E158" s="1" t="s">
        <v>25</v>
      </c>
      <c r="F158" s="1" t="s">
        <v>26</v>
      </c>
      <c r="G158" s="22" t="s">
        <v>1002</v>
      </c>
      <c r="H158" s="1" t="s">
        <v>1003</v>
      </c>
      <c r="I158" s="34" t="e">
        <f>HYPERLINK(DiscoveryTable5[[#This Row],[Case Number]],COUNTIF(#REF!,DiscoveryTable5[[#This Row],[Case Number]]))</f>
        <v>#REF!</v>
      </c>
      <c r="J158" s="28" t="s">
        <v>1004</v>
      </c>
    </row>
    <row r="159" spans="1:10" ht="15.75" x14ac:dyDescent="0.25">
      <c r="A159" s="27" t="s">
        <v>1005</v>
      </c>
      <c r="B159" s="1" t="s">
        <v>1006</v>
      </c>
      <c r="C159" s="1" t="s">
        <v>23</v>
      </c>
      <c r="D159" s="1" t="s">
        <v>989</v>
      </c>
      <c r="E159" s="1" t="s">
        <v>25</v>
      </c>
      <c r="F159" s="1" t="s">
        <v>26</v>
      </c>
      <c r="G159" s="22" t="s">
        <v>1007</v>
      </c>
      <c r="H159" s="1" t="s">
        <v>1008</v>
      </c>
      <c r="I159" s="34" t="e">
        <f>HYPERLINK(DiscoveryTable5[[#This Row],[Case Number]],COUNTIF(#REF!,DiscoveryTable5[[#This Row],[Case Number]]))</f>
        <v>#REF!</v>
      </c>
      <c r="J159" s="28" t="s">
        <v>1009</v>
      </c>
    </row>
    <row r="160" spans="1:10" ht="15.75" x14ac:dyDescent="0.25">
      <c r="A160" s="27" t="s">
        <v>1010</v>
      </c>
      <c r="B160" s="1" t="s">
        <v>1011</v>
      </c>
      <c r="C160" s="1" t="s">
        <v>23</v>
      </c>
      <c r="D160" s="1" t="s">
        <v>989</v>
      </c>
      <c r="E160" s="1" t="s">
        <v>25</v>
      </c>
      <c r="F160" s="1" t="s">
        <v>26</v>
      </c>
      <c r="G160" s="22" t="s">
        <v>1012</v>
      </c>
      <c r="H160" s="1" t="s">
        <v>1013</v>
      </c>
      <c r="I160" s="34" t="e">
        <f>HYPERLINK(DiscoveryTable5[[#This Row],[Case Number]],COUNTIF(#REF!,DiscoveryTable5[[#This Row],[Case Number]]))</f>
        <v>#REF!</v>
      </c>
      <c r="J160" s="28" t="s">
        <v>1014</v>
      </c>
    </row>
    <row r="161" spans="1:10" ht="15.75" x14ac:dyDescent="0.25">
      <c r="A161" s="27" t="s">
        <v>1015</v>
      </c>
      <c r="B161" s="1" t="s">
        <v>1016</v>
      </c>
      <c r="C161" s="1" t="s">
        <v>1017</v>
      </c>
      <c r="D161" s="1" t="s">
        <v>1018</v>
      </c>
      <c r="E161" s="1" t="s">
        <v>25</v>
      </c>
      <c r="F161" s="1" t="s">
        <v>26</v>
      </c>
      <c r="G161" s="22" t="s">
        <v>1019</v>
      </c>
      <c r="H161" s="1" t="s">
        <v>1020</v>
      </c>
      <c r="I161" s="34" t="e">
        <f>HYPERLINK(DiscoveryTable5[[#This Row],[Case Number]],COUNTIF(#REF!,DiscoveryTable5[[#This Row],[Case Number]]))</f>
        <v>#REF!</v>
      </c>
      <c r="J161" s="28" t="s">
        <v>1021</v>
      </c>
    </row>
    <row r="162" spans="1:10" ht="141.75" hidden="1" x14ac:dyDescent="0.25">
      <c r="A162" s="27" t="s">
        <v>1022</v>
      </c>
      <c r="B162" s="1" t="s">
        <v>1023</v>
      </c>
      <c r="C162" s="1" t="s">
        <v>23</v>
      </c>
      <c r="D162" s="1" t="s">
        <v>1024</v>
      </c>
      <c r="E162" s="1" t="s">
        <v>25</v>
      </c>
      <c r="F162" s="1" t="s">
        <v>26</v>
      </c>
      <c r="G162" s="22" t="s">
        <v>1025</v>
      </c>
      <c r="H162" s="1" t="s">
        <v>1026</v>
      </c>
      <c r="I162" s="34" t="e">
        <f>HYPERLINK(DiscoveryTable5[[#This Row],[Case Number]],COUNTIF(#REF!,DiscoveryTable5[[#This Row],[Case Number]]))</f>
        <v>#REF!</v>
      </c>
      <c r="J162" s="28" t="s">
        <v>1027</v>
      </c>
    </row>
    <row r="163" spans="1:10" ht="236.25" x14ac:dyDescent="0.25">
      <c r="A163" s="27" t="s">
        <v>1028</v>
      </c>
      <c r="B163" s="1" t="s">
        <v>1029</v>
      </c>
      <c r="C163" s="1" t="s">
        <v>1030</v>
      </c>
      <c r="D163" s="1" t="s">
        <v>1031</v>
      </c>
      <c r="E163" s="1" t="s">
        <v>34</v>
      </c>
      <c r="F163" s="1" t="s">
        <v>35</v>
      </c>
      <c r="G163" s="22" t="s">
        <v>1032</v>
      </c>
      <c r="H163" s="1" t="s">
        <v>1033</v>
      </c>
      <c r="I163" s="34" t="e">
        <f>HYPERLINK(DiscoveryTable5[[#This Row],[Case Number]],COUNTIF(#REF!,DiscoveryTable5[[#This Row],[Case Number]]))</f>
        <v>#REF!</v>
      </c>
      <c r="J163" s="28" t="s">
        <v>1034</v>
      </c>
    </row>
    <row r="164" spans="1:10" ht="31.5" x14ac:dyDescent="0.25">
      <c r="A164" s="27" t="s">
        <v>1035</v>
      </c>
      <c r="B164" s="1" t="s">
        <v>1036</v>
      </c>
      <c r="C164" s="1" t="s">
        <v>23</v>
      </c>
      <c r="D164" s="1" t="s">
        <v>1031</v>
      </c>
      <c r="E164" s="1" t="s">
        <v>25</v>
      </c>
      <c r="F164" s="1" t="s">
        <v>26</v>
      </c>
      <c r="G164" s="22" t="s">
        <v>1037</v>
      </c>
      <c r="H164" s="1" t="s">
        <v>1038</v>
      </c>
      <c r="I164" s="34" t="e">
        <f>HYPERLINK(DiscoveryTable5[[#This Row],[Case Number]],COUNTIF(#REF!,DiscoveryTable5[[#This Row],[Case Number]]))</f>
        <v>#REF!</v>
      </c>
      <c r="J164" s="28" t="s">
        <v>1039</v>
      </c>
    </row>
    <row r="165" spans="1:10" ht="15.75" x14ac:dyDescent="0.25">
      <c r="A165" s="27" t="s">
        <v>1040</v>
      </c>
      <c r="B165" s="1" t="s">
        <v>1041</v>
      </c>
      <c r="C165" s="1" t="s">
        <v>23</v>
      </c>
      <c r="D165" s="1" t="s">
        <v>1031</v>
      </c>
      <c r="E165" s="1" t="s">
        <v>25</v>
      </c>
      <c r="F165" s="1" t="s">
        <v>26</v>
      </c>
      <c r="G165" s="22" t="s">
        <v>1042</v>
      </c>
      <c r="H165" s="1" t="s">
        <v>1043</v>
      </c>
      <c r="I165" s="34" t="e">
        <f>HYPERLINK(DiscoveryTable5[[#This Row],[Case Number]],COUNTIF(#REF!,DiscoveryTable5[[#This Row],[Case Number]]))</f>
        <v>#REF!</v>
      </c>
      <c r="J165" s="28" t="s">
        <v>1044</v>
      </c>
    </row>
    <row r="166" spans="1:10" ht="15.75" x14ac:dyDescent="0.25">
      <c r="A166" s="27" t="s">
        <v>1045</v>
      </c>
      <c r="B166" s="1" t="s">
        <v>1046</v>
      </c>
      <c r="C166" s="1" t="s">
        <v>1047</v>
      </c>
      <c r="D166" s="1" t="s">
        <v>1048</v>
      </c>
      <c r="E166" s="1" t="s">
        <v>25</v>
      </c>
      <c r="F166" s="1" t="s">
        <v>26</v>
      </c>
      <c r="G166" s="22" t="s">
        <v>1049</v>
      </c>
      <c r="H166" s="1" t="s">
        <v>1050</v>
      </c>
      <c r="I166" s="34" t="e">
        <f>HYPERLINK(DiscoveryTable5[[#This Row],[Case Number]],COUNTIF(#REF!,DiscoveryTable5[[#This Row],[Case Number]]))</f>
        <v>#REF!</v>
      </c>
      <c r="J166" s="28" t="s">
        <v>1051</v>
      </c>
    </row>
    <row r="167" spans="1:10" ht="15.75" x14ac:dyDescent="0.25">
      <c r="A167" s="27" t="s">
        <v>1052</v>
      </c>
      <c r="B167" s="1" t="s">
        <v>1053</v>
      </c>
      <c r="C167" s="1" t="s">
        <v>1054</v>
      </c>
      <c r="D167" s="1" t="s">
        <v>1048</v>
      </c>
      <c r="E167" s="1" t="s">
        <v>25</v>
      </c>
      <c r="F167" s="1" t="s">
        <v>26</v>
      </c>
      <c r="G167" s="22" t="s">
        <v>1055</v>
      </c>
      <c r="H167" s="1" t="s">
        <v>1056</v>
      </c>
      <c r="I167" s="34" t="e">
        <f>HYPERLINK(DiscoveryTable5[[#This Row],[Case Number]],COUNTIF(#REF!,DiscoveryTable5[[#This Row],[Case Number]]))</f>
        <v>#REF!</v>
      </c>
      <c r="J167" s="28" t="s">
        <v>1057</v>
      </c>
    </row>
    <row r="168" spans="1:10" ht="63" hidden="1" x14ac:dyDescent="0.25">
      <c r="A168" s="27" t="s">
        <v>1058</v>
      </c>
      <c r="B168" s="1" t="s">
        <v>1059</v>
      </c>
      <c r="C168" s="1" t="s">
        <v>1060</v>
      </c>
      <c r="D168" s="1" t="s">
        <v>1048</v>
      </c>
      <c r="E168" s="1" t="s">
        <v>25</v>
      </c>
      <c r="F168" s="1" t="s">
        <v>26</v>
      </c>
      <c r="G168" s="22" t="s">
        <v>1061</v>
      </c>
      <c r="H168" s="1" t="s">
        <v>1062</v>
      </c>
      <c r="I168" s="34" t="e">
        <f>HYPERLINK(DiscoveryTable5[[#This Row],[Case Number]],COUNTIF(#REF!,DiscoveryTable5[[#This Row],[Case Number]]))</f>
        <v>#REF!</v>
      </c>
      <c r="J168" s="28" t="s">
        <v>1063</v>
      </c>
    </row>
    <row r="169" spans="1:10" ht="141.75" x14ac:dyDescent="0.25">
      <c r="A169" s="27" t="s">
        <v>1064</v>
      </c>
      <c r="B169" s="1" t="s">
        <v>1065</v>
      </c>
      <c r="C169" s="1" t="s">
        <v>23</v>
      </c>
      <c r="D169" s="1" t="s">
        <v>1066</v>
      </c>
      <c r="E169" s="1" t="s">
        <v>1067</v>
      </c>
      <c r="F169" s="1" t="s">
        <v>1068</v>
      </c>
      <c r="G169" s="22" t="s">
        <v>1069</v>
      </c>
      <c r="H169" s="1" t="s">
        <v>1070</v>
      </c>
      <c r="I169" s="34" t="e">
        <f>HYPERLINK(DiscoveryTable5[[#This Row],[Case Number]],COUNTIF(#REF!,DiscoveryTable5[[#This Row],[Case Number]]))</f>
        <v>#REF!</v>
      </c>
      <c r="J169" s="28" t="s">
        <v>1071</v>
      </c>
    </row>
    <row r="170" spans="1:10" ht="204.75" hidden="1" x14ac:dyDescent="0.25">
      <c r="A170" s="27" t="s">
        <v>1072</v>
      </c>
      <c r="B170" s="1" t="s">
        <v>1073</v>
      </c>
      <c r="C170" s="1" t="s">
        <v>1074</v>
      </c>
      <c r="D170" s="1" t="s">
        <v>1075</v>
      </c>
      <c r="E170" s="1" t="s">
        <v>1076</v>
      </c>
      <c r="F170" s="1" t="s">
        <v>1077</v>
      </c>
      <c r="G170" s="22" t="s">
        <v>1078</v>
      </c>
      <c r="H170" s="1" t="s">
        <v>1079</v>
      </c>
      <c r="I170" s="34" t="e">
        <f>HYPERLINK(DiscoveryTable5[[#This Row],[Case Number]],COUNTIF(#REF!,DiscoveryTable5[[#This Row],[Case Number]]))</f>
        <v>#REF!</v>
      </c>
      <c r="J170" s="28" t="s">
        <v>1080</v>
      </c>
    </row>
    <row r="171" spans="1:10" ht="15.75" x14ac:dyDescent="0.25">
      <c r="A171" s="27" t="s">
        <v>1081</v>
      </c>
      <c r="B171" s="1" t="s">
        <v>1082</v>
      </c>
      <c r="C171" s="1" t="s">
        <v>23</v>
      </c>
      <c r="D171" s="1" t="s">
        <v>1075</v>
      </c>
      <c r="E171" s="1" t="s">
        <v>25</v>
      </c>
      <c r="F171" s="1" t="s">
        <v>26</v>
      </c>
      <c r="G171" s="22" t="s">
        <v>1083</v>
      </c>
      <c r="H171" s="1" t="s">
        <v>1084</v>
      </c>
      <c r="I171" s="34" t="e">
        <f>HYPERLINK(DiscoveryTable5[[#This Row],[Case Number]],COUNTIF(#REF!,DiscoveryTable5[[#This Row],[Case Number]]))</f>
        <v>#REF!</v>
      </c>
      <c r="J171" s="28" t="s">
        <v>1085</v>
      </c>
    </row>
    <row r="172" spans="1:10" ht="110.25" hidden="1" x14ac:dyDescent="0.25">
      <c r="A172" s="27" t="s">
        <v>1086</v>
      </c>
      <c r="B172" s="1" t="s">
        <v>1073</v>
      </c>
      <c r="C172" s="1" t="s">
        <v>1074</v>
      </c>
      <c r="D172" s="1" t="s">
        <v>1087</v>
      </c>
      <c r="E172" s="1" t="s">
        <v>1088</v>
      </c>
      <c r="F172" s="1" t="s">
        <v>1089</v>
      </c>
      <c r="G172" s="22" t="s">
        <v>1090</v>
      </c>
      <c r="H172" s="1" t="s">
        <v>1091</v>
      </c>
      <c r="I172" s="34" t="e">
        <f>HYPERLINK(DiscoveryTable5[[#This Row],[Case Number]],COUNTIF(#REF!,DiscoveryTable5[[#This Row],[Case Number]]))</f>
        <v>#REF!</v>
      </c>
      <c r="J172" s="28" t="s">
        <v>1092</v>
      </c>
    </row>
    <row r="173" spans="1:10" ht="47.25" x14ac:dyDescent="0.25">
      <c r="A173" s="27" t="s">
        <v>403</v>
      </c>
      <c r="B173" s="1" t="s">
        <v>404</v>
      </c>
      <c r="C173" s="1" t="s">
        <v>405</v>
      </c>
      <c r="D173" s="1" t="s">
        <v>406</v>
      </c>
      <c r="E173" s="1" t="s">
        <v>25</v>
      </c>
      <c r="F173" s="1" t="s">
        <v>407</v>
      </c>
      <c r="G173" s="22" t="s">
        <v>408</v>
      </c>
      <c r="H173" s="1" t="s">
        <v>409</v>
      </c>
      <c r="I173" s="34" t="e">
        <f>HYPERLINK(DiscoveryTable5[[#This Row],[Case Number]],COUNTIF(#REF!,DiscoveryTable5[[#This Row],[Case Number]]))</f>
        <v>#REF!</v>
      </c>
      <c r="J173" s="28" t="s">
        <v>410</v>
      </c>
    </row>
    <row r="174" spans="1:10" ht="15.75" x14ac:dyDescent="0.25">
      <c r="A174" s="27" t="s">
        <v>1093</v>
      </c>
      <c r="B174" s="1" t="s">
        <v>1094</v>
      </c>
      <c r="C174" s="1" t="s">
        <v>1095</v>
      </c>
      <c r="D174" s="1" t="s">
        <v>428</v>
      </c>
      <c r="E174" s="1" t="s">
        <v>25</v>
      </c>
      <c r="F174" s="1" t="s">
        <v>26</v>
      </c>
      <c r="G174" s="22" t="s">
        <v>1096</v>
      </c>
      <c r="H174" s="1" t="s">
        <v>1097</v>
      </c>
      <c r="I174" s="34" t="e">
        <f>HYPERLINK(DiscoveryTable5[[#This Row],[Case Number]],COUNTIF(#REF!,DiscoveryTable5[[#This Row],[Case Number]]))</f>
        <v>#REF!</v>
      </c>
      <c r="J174" s="28" t="s">
        <v>1098</v>
      </c>
    </row>
    <row r="175" spans="1:10" ht="173.25" x14ac:dyDescent="0.25">
      <c r="A175" s="27" t="s">
        <v>425</v>
      </c>
      <c r="B175" s="1" t="s">
        <v>426</v>
      </c>
      <c r="C175" s="1" t="s">
        <v>427</v>
      </c>
      <c r="D175" s="1" t="s">
        <v>428</v>
      </c>
      <c r="E175" s="1" t="s">
        <v>25</v>
      </c>
      <c r="F175" s="1" t="s">
        <v>429</v>
      </c>
      <c r="G175" s="22" t="s">
        <v>430</v>
      </c>
      <c r="H175" s="1" t="s">
        <v>431</v>
      </c>
      <c r="I175" s="34" t="e">
        <f>HYPERLINK(DiscoveryTable5[[#This Row],[Case Number]],COUNTIF(#REF!,DiscoveryTable5[[#This Row],[Case Number]]))</f>
        <v>#REF!</v>
      </c>
      <c r="J175" s="28" t="s">
        <v>432</v>
      </c>
    </row>
    <row r="176" spans="1:10" ht="63" hidden="1" x14ac:dyDescent="0.25">
      <c r="A176" s="27" t="s">
        <v>1099</v>
      </c>
      <c r="B176" s="1" t="s">
        <v>1100</v>
      </c>
      <c r="C176" s="1" t="s">
        <v>1101</v>
      </c>
      <c r="D176" s="1" t="s">
        <v>1102</v>
      </c>
      <c r="E176" s="1" t="s">
        <v>25</v>
      </c>
      <c r="F176" s="1" t="s">
        <v>26</v>
      </c>
      <c r="G176" s="22" t="s">
        <v>1103</v>
      </c>
      <c r="H176" s="1" t="s">
        <v>1104</v>
      </c>
      <c r="I176" s="34" t="e">
        <f>HYPERLINK(DiscoveryTable5[[#This Row],[Case Number]],COUNTIF(#REF!,DiscoveryTable5[[#This Row],[Case Number]]))</f>
        <v>#REF!</v>
      </c>
      <c r="J176" s="28" t="s">
        <v>1105</v>
      </c>
    </row>
    <row r="177" spans="1:10" ht="267.75" x14ac:dyDescent="0.25">
      <c r="A177" s="27" t="s">
        <v>1111</v>
      </c>
      <c r="B177" s="1" t="s">
        <v>1112</v>
      </c>
      <c r="C177" s="1" t="s">
        <v>23</v>
      </c>
      <c r="D177" s="1" t="s">
        <v>1102</v>
      </c>
      <c r="E177" s="1" t="s">
        <v>34</v>
      </c>
      <c r="F177" s="1" t="s">
        <v>35</v>
      </c>
      <c r="G177" s="22" t="s">
        <v>1113</v>
      </c>
      <c r="H177" s="1" t="s">
        <v>1114</v>
      </c>
      <c r="I177" s="34" t="e">
        <f>HYPERLINK(DiscoveryTable5[[#This Row],[Case Number]],COUNTIF(#REF!,DiscoveryTable5[[#This Row],[Case Number]]))</f>
        <v>#REF!</v>
      </c>
      <c r="J177" s="28" t="s">
        <v>1115</v>
      </c>
    </row>
    <row r="178" spans="1:10" ht="63" hidden="1" x14ac:dyDescent="0.25">
      <c r="A178" s="27" t="s">
        <v>1106</v>
      </c>
      <c r="B178" s="1" t="s">
        <v>1107</v>
      </c>
      <c r="C178" s="1" t="s">
        <v>23</v>
      </c>
      <c r="D178" s="1" t="s">
        <v>1102</v>
      </c>
      <c r="E178" s="1" t="s">
        <v>25</v>
      </c>
      <c r="F178" s="1" t="s">
        <v>26</v>
      </c>
      <c r="G178" s="22" t="s">
        <v>1108</v>
      </c>
      <c r="H178" s="1" t="s">
        <v>1109</v>
      </c>
      <c r="I178" s="34" t="e">
        <f>HYPERLINK(DiscoveryTable5[[#This Row],[Case Number]],COUNTIF(#REF!,DiscoveryTable5[[#This Row],[Case Number]]))</f>
        <v>#REF!</v>
      </c>
      <c r="J178" s="28" t="s">
        <v>1110</v>
      </c>
    </row>
    <row r="179" spans="1:10" ht="94.5" hidden="1" x14ac:dyDescent="0.25">
      <c r="A179" s="27" t="s">
        <v>1116</v>
      </c>
      <c r="B179" s="1" t="s">
        <v>1117</v>
      </c>
      <c r="C179" s="1" t="s">
        <v>1118</v>
      </c>
      <c r="D179" s="1" t="s">
        <v>1102</v>
      </c>
      <c r="E179" s="1" t="s">
        <v>34</v>
      </c>
      <c r="F179" s="1" t="s">
        <v>35</v>
      </c>
      <c r="G179" s="22" t="s">
        <v>1119</v>
      </c>
      <c r="H179" s="1" t="s">
        <v>1120</v>
      </c>
      <c r="I179" s="34" t="e">
        <f>HYPERLINK(DiscoveryTable5[[#This Row],[Case Number]],COUNTIF(#REF!,DiscoveryTable5[[#This Row],[Case Number]]))</f>
        <v>#REF!</v>
      </c>
      <c r="J179" s="28" t="s">
        <v>1121</v>
      </c>
    </row>
    <row r="180" spans="1:10" ht="157.5" x14ac:dyDescent="0.25">
      <c r="A180" s="27" t="s">
        <v>1122</v>
      </c>
      <c r="B180" s="1" t="s">
        <v>1123</v>
      </c>
      <c r="C180" s="1" t="s">
        <v>23</v>
      </c>
      <c r="D180" s="1" t="s">
        <v>1124</v>
      </c>
      <c r="E180" s="1" t="s">
        <v>25</v>
      </c>
      <c r="F180" s="1" t="s">
        <v>26</v>
      </c>
      <c r="G180" s="22" t="s">
        <v>1125</v>
      </c>
      <c r="H180" s="1" t="s">
        <v>1126</v>
      </c>
      <c r="I180" s="34" t="e">
        <f>HYPERLINK(DiscoveryTable5[[#This Row],[Case Number]],COUNTIF(#REF!,DiscoveryTable5[[#This Row],[Case Number]]))</f>
        <v>#REF!</v>
      </c>
      <c r="J180" s="28" t="s">
        <v>1127</v>
      </c>
    </row>
    <row r="181" spans="1:10" ht="15.75" x14ac:dyDescent="0.25">
      <c r="A181" s="27" t="s">
        <v>1128</v>
      </c>
      <c r="B181" s="1" t="s">
        <v>1129</v>
      </c>
      <c r="C181" s="1" t="s">
        <v>23</v>
      </c>
      <c r="D181" s="1" t="s">
        <v>1130</v>
      </c>
      <c r="E181" s="1" t="s">
        <v>25</v>
      </c>
      <c r="F181" s="1" t="s">
        <v>26</v>
      </c>
      <c r="G181" s="22" t="s">
        <v>1131</v>
      </c>
      <c r="H181" s="1" t="s">
        <v>1132</v>
      </c>
      <c r="I181" s="34" t="e">
        <f>HYPERLINK(DiscoveryTable5[[#This Row],[Case Number]],COUNTIF(#REF!,DiscoveryTable5[[#This Row],[Case Number]]))</f>
        <v>#REF!</v>
      </c>
      <c r="J181" s="28" t="s">
        <v>1133</v>
      </c>
    </row>
    <row r="182" spans="1:10" ht="31.5" x14ac:dyDescent="0.25">
      <c r="A182" s="27" t="s">
        <v>1134</v>
      </c>
      <c r="B182" s="1" t="s">
        <v>1135</v>
      </c>
      <c r="C182" s="1" t="s">
        <v>23</v>
      </c>
      <c r="D182" s="1" t="s">
        <v>1130</v>
      </c>
      <c r="E182" s="1" t="s">
        <v>25</v>
      </c>
      <c r="F182" s="1" t="s">
        <v>26</v>
      </c>
      <c r="G182" s="22" t="s">
        <v>1136</v>
      </c>
      <c r="H182" s="1" t="s">
        <v>1137</v>
      </c>
      <c r="I182" s="34" t="e">
        <f>HYPERLINK(DiscoveryTable5[[#This Row],[Case Number]],COUNTIF(#REF!,DiscoveryTable5[[#This Row],[Case Number]]))</f>
        <v>#REF!</v>
      </c>
      <c r="J182" s="28" t="s">
        <v>1138</v>
      </c>
    </row>
    <row r="183" spans="1:10" ht="31.5" x14ac:dyDescent="0.25">
      <c r="A183" s="27" t="s">
        <v>1139</v>
      </c>
      <c r="B183" s="1" t="s">
        <v>1140</v>
      </c>
      <c r="C183" s="1" t="s">
        <v>1141</v>
      </c>
      <c r="D183" s="1" t="s">
        <v>1130</v>
      </c>
      <c r="E183" s="1" t="s">
        <v>25</v>
      </c>
      <c r="F183" s="1" t="s">
        <v>26</v>
      </c>
      <c r="G183" s="22" t="s">
        <v>1142</v>
      </c>
      <c r="H183" s="1" t="s">
        <v>1143</v>
      </c>
      <c r="I183" s="34" t="e">
        <f>HYPERLINK(DiscoveryTable5[[#This Row],[Case Number]],COUNTIF(#REF!,DiscoveryTable5[[#This Row],[Case Number]]))</f>
        <v>#REF!</v>
      </c>
      <c r="J183" s="28" t="s">
        <v>1144</v>
      </c>
    </row>
    <row r="184" spans="1:10" ht="15.75" x14ac:dyDescent="0.25">
      <c r="A184" s="27" t="s">
        <v>1145</v>
      </c>
      <c r="B184" s="1" t="s">
        <v>1146</v>
      </c>
      <c r="C184" s="1" t="s">
        <v>23</v>
      </c>
      <c r="D184" s="1" t="s">
        <v>1147</v>
      </c>
      <c r="E184" s="1" t="s">
        <v>25</v>
      </c>
      <c r="F184" s="1" t="s">
        <v>26</v>
      </c>
      <c r="G184" s="22" t="s">
        <v>1148</v>
      </c>
      <c r="H184" s="1" t="s">
        <v>1149</v>
      </c>
      <c r="I184" s="34" t="e">
        <f>HYPERLINK(DiscoveryTable5[[#This Row],[Case Number]],COUNTIF(#REF!,DiscoveryTable5[[#This Row],[Case Number]]))</f>
        <v>#REF!</v>
      </c>
      <c r="J184" s="28" t="s">
        <v>1150</v>
      </c>
    </row>
    <row r="185" spans="1:10" ht="126" x14ac:dyDescent="0.25">
      <c r="A185" s="27" t="s">
        <v>396</v>
      </c>
      <c r="B185" s="1" t="s">
        <v>397</v>
      </c>
      <c r="C185" s="1" t="s">
        <v>398</v>
      </c>
      <c r="D185" s="1" t="s">
        <v>399</v>
      </c>
      <c r="E185" s="1" t="s">
        <v>25</v>
      </c>
      <c r="F185" s="1" t="s">
        <v>35</v>
      </c>
      <c r="G185" s="22" t="s">
        <v>400</v>
      </c>
      <c r="H185" s="1" t="s">
        <v>401</v>
      </c>
      <c r="I185" s="34" t="e">
        <f>HYPERLINK(DiscoveryTable5[[#This Row],[Case Number]],COUNTIF(#REF!,DiscoveryTable5[[#This Row],[Case Number]]))</f>
        <v>#REF!</v>
      </c>
      <c r="J185" s="28" t="s">
        <v>402</v>
      </c>
    </row>
    <row r="186" spans="1:10" ht="31.5" hidden="1" x14ac:dyDescent="0.25">
      <c r="A186" s="27" t="s">
        <v>1151</v>
      </c>
      <c r="B186" s="1" t="s">
        <v>1152</v>
      </c>
      <c r="C186" s="1" t="s">
        <v>23</v>
      </c>
      <c r="D186" s="1" t="s">
        <v>1153</v>
      </c>
      <c r="E186" s="1" t="s">
        <v>25</v>
      </c>
      <c r="F186" s="1" t="s">
        <v>26</v>
      </c>
      <c r="G186" s="22" t="s">
        <v>1154</v>
      </c>
      <c r="H186" s="1" t="s">
        <v>1155</v>
      </c>
      <c r="I186" s="34" t="e">
        <f>HYPERLINK(DiscoveryTable5[[#This Row],[Case Number]],COUNTIF(#REF!,DiscoveryTable5[[#This Row],[Case Number]]))</f>
        <v>#REF!</v>
      </c>
      <c r="J186" s="28" t="s">
        <v>1156</v>
      </c>
    </row>
    <row r="187" spans="1:10" ht="141.75" x14ac:dyDescent="0.25">
      <c r="A187" s="27" t="s">
        <v>1157</v>
      </c>
      <c r="B187" s="1" t="s">
        <v>1158</v>
      </c>
      <c r="C187" s="1" t="s">
        <v>1159</v>
      </c>
      <c r="D187" s="1" t="s">
        <v>1153</v>
      </c>
      <c r="E187" s="1" t="s">
        <v>25</v>
      </c>
      <c r="F187" s="1" t="s">
        <v>26</v>
      </c>
      <c r="G187" s="22" t="s">
        <v>1160</v>
      </c>
      <c r="H187" s="1" t="s">
        <v>1161</v>
      </c>
      <c r="I187" s="34" t="e">
        <f>HYPERLINK(DiscoveryTable5[[#This Row],[Case Number]],COUNTIF(#REF!,DiscoveryTable5[[#This Row],[Case Number]]))</f>
        <v>#REF!</v>
      </c>
      <c r="J187" s="28" t="s">
        <v>1162</v>
      </c>
    </row>
    <row r="188" spans="1:10" ht="31.5" x14ac:dyDescent="0.25">
      <c r="A188" s="27" t="s">
        <v>1163</v>
      </c>
      <c r="B188" s="1" t="s">
        <v>1164</v>
      </c>
      <c r="C188" s="1" t="s">
        <v>23</v>
      </c>
      <c r="D188" s="1" t="s">
        <v>1165</v>
      </c>
      <c r="E188" s="1" t="s">
        <v>25</v>
      </c>
      <c r="F188" s="1" t="s">
        <v>26</v>
      </c>
      <c r="G188" s="22" t="s">
        <v>1166</v>
      </c>
      <c r="H188" s="1" t="s">
        <v>1167</v>
      </c>
      <c r="I188" s="34" t="e">
        <f>HYPERLINK(DiscoveryTable5[[#This Row],[Case Number]],COUNTIF(#REF!,DiscoveryTable5[[#This Row],[Case Number]]))</f>
        <v>#REF!</v>
      </c>
      <c r="J188" s="28" t="s">
        <v>1168</v>
      </c>
    </row>
    <row r="189" spans="1:10" ht="31.5" x14ac:dyDescent="0.25">
      <c r="A189" s="27" t="s">
        <v>1169</v>
      </c>
      <c r="B189" s="1" t="s">
        <v>1170</v>
      </c>
      <c r="C189" s="1" t="s">
        <v>23</v>
      </c>
      <c r="D189" s="1" t="s">
        <v>1165</v>
      </c>
      <c r="E189" s="1" t="s">
        <v>25</v>
      </c>
      <c r="F189" s="1" t="s">
        <v>26</v>
      </c>
      <c r="G189" s="22" t="s">
        <v>1171</v>
      </c>
      <c r="H189" s="1" t="s">
        <v>1172</v>
      </c>
      <c r="I189" s="34" t="e">
        <f>HYPERLINK(DiscoveryTable5[[#This Row],[Case Number]],COUNTIF(#REF!,DiscoveryTable5[[#This Row],[Case Number]]))</f>
        <v>#REF!</v>
      </c>
      <c r="J189" s="28" t="s">
        <v>1173</v>
      </c>
    </row>
    <row r="190" spans="1:10" ht="299.25" hidden="1" x14ac:dyDescent="0.25">
      <c r="A190" s="27" t="s">
        <v>1174</v>
      </c>
      <c r="B190" s="1" t="s">
        <v>1175</v>
      </c>
      <c r="C190" s="1" t="s">
        <v>23</v>
      </c>
      <c r="D190" s="1" t="s">
        <v>1165</v>
      </c>
      <c r="E190" s="1" t="s">
        <v>25</v>
      </c>
      <c r="F190" s="1" t="s">
        <v>26</v>
      </c>
      <c r="G190" s="22" t="s">
        <v>1176</v>
      </c>
      <c r="H190" s="1" t="s">
        <v>1177</v>
      </c>
      <c r="I190" s="34" t="e">
        <f>HYPERLINK(DiscoveryTable5[[#This Row],[Case Number]],COUNTIF(#REF!,DiscoveryTable5[[#This Row],[Case Number]]))</f>
        <v>#REF!</v>
      </c>
      <c r="J190" s="28" t="s">
        <v>1178</v>
      </c>
    </row>
    <row r="191" spans="1:10" ht="204.75" x14ac:dyDescent="0.25">
      <c r="A191" s="27" t="s">
        <v>1651</v>
      </c>
      <c r="B191" s="1" t="s">
        <v>1652</v>
      </c>
      <c r="C191" s="1" t="s">
        <v>23</v>
      </c>
      <c r="D191" s="1" t="s">
        <v>1653</v>
      </c>
      <c r="E191" s="1" t="s">
        <v>25</v>
      </c>
      <c r="F191" s="1" t="s">
        <v>1654</v>
      </c>
      <c r="G191" s="22" t="s">
        <v>1655</v>
      </c>
      <c r="H191" s="1" t="s">
        <v>1656</v>
      </c>
      <c r="I191" s="34" t="e">
        <f>HYPERLINK(DiscoveryTable5[[#This Row],[Case Number]],COUNTIF(#REF!,DiscoveryTable5[[#This Row],[Case Number]]))</f>
        <v>#REF!</v>
      </c>
      <c r="J191" s="28" t="s">
        <v>1657</v>
      </c>
    </row>
    <row r="192" spans="1:10" ht="141.75" x14ac:dyDescent="0.25">
      <c r="A192" s="27" t="s">
        <v>1179</v>
      </c>
      <c r="B192" s="1" t="s">
        <v>1180</v>
      </c>
      <c r="C192" s="1" t="s">
        <v>23</v>
      </c>
      <c r="D192" s="1" t="s">
        <v>1181</v>
      </c>
      <c r="E192" s="1" t="s">
        <v>25</v>
      </c>
      <c r="F192" s="1" t="s">
        <v>26</v>
      </c>
      <c r="G192" s="22" t="s">
        <v>1182</v>
      </c>
      <c r="H192" s="1" t="s">
        <v>1183</v>
      </c>
      <c r="I192" s="34" t="e">
        <f>HYPERLINK(DiscoveryTable5[[#This Row],[Case Number]],COUNTIF(#REF!,DiscoveryTable5[[#This Row],[Case Number]]))</f>
        <v>#REF!</v>
      </c>
      <c r="J192" s="28" t="s">
        <v>1184</v>
      </c>
    </row>
    <row r="193" spans="1:10" ht="31.5" x14ac:dyDescent="0.25">
      <c r="A193" s="27" t="s">
        <v>1185</v>
      </c>
      <c r="B193" s="1" t="s">
        <v>1186</v>
      </c>
      <c r="C193" s="1" t="s">
        <v>23</v>
      </c>
      <c r="D193" s="1" t="s">
        <v>1181</v>
      </c>
      <c r="E193" s="1" t="s">
        <v>25</v>
      </c>
      <c r="F193" s="1" t="s">
        <v>26</v>
      </c>
      <c r="G193" s="22" t="s">
        <v>1187</v>
      </c>
      <c r="H193" s="1" t="s">
        <v>1188</v>
      </c>
      <c r="I193" s="34" t="e">
        <f>HYPERLINK(DiscoveryTable5[[#This Row],[Case Number]],COUNTIF(#REF!,DiscoveryTable5[[#This Row],[Case Number]]))</f>
        <v>#REF!</v>
      </c>
      <c r="J193" s="28" t="s">
        <v>1189</v>
      </c>
    </row>
    <row r="194" spans="1:10" ht="204.75" x14ac:dyDescent="0.25">
      <c r="A194" s="27" t="s">
        <v>1190</v>
      </c>
      <c r="B194" s="1" t="s">
        <v>1191</v>
      </c>
      <c r="C194" s="1" t="s">
        <v>23</v>
      </c>
      <c r="D194" s="1" t="s">
        <v>1181</v>
      </c>
      <c r="E194" s="1" t="s">
        <v>25</v>
      </c>
      <c r="F194" s="1" t="s">
        <v>26</v>
      </c>
      <c r="G194" s="22" t="s">
        <v>1192</v>
      </c>
      <c r="H194" s="1" t="s">
        <v>1193</v>
      </c>
      <c r="I194" s="34" t="e">
        <f>HYPERLINK(DiscoveryTable5[[#This Row],[Case Number]],COUNTIF(#REF!,DiscoveryTable5[[#This Row],[Case Number]]))</f>
        <v>#REF!</v>
      </c>
      <c r="J194" s="28" t="s">
        <v>1194</v>
      </c>
    </row>
    <row r="195" spans="1:10" ht="63" x14ac:dyDescent="0.25">
      <c r="A195" s="27" t="s">
        <v>1195</v>
      </c>
      <c r="B195" s="1" t="s">
        <v>1196</v>
      </c>
      <c r="C195" s="1" t="s">
        <v>23</v>
      </c>
      <c r="D195" s="1" t="s">
        <v>1181</v>
      </c>
      <c r="E195" s="1" t="s">
        <v>25</v>
      </c>
      <c r="F195" s="1" t="s">
        <v>26</v>
      </c>
      <c r="G195" s="22" t="s">
        <v>1197</v>
      </c>
      <c r="H195" s="1" t="s">
        <v>1198</v>
      </c>
      <c r="I195" s="34" t="e">
        <f>HYPERLINK(DiscoveryTable5[[#This Row],[Case Number]],COUNTIF(#REF!,DiscoveryTable5[[#This Row],[Case Number]]))</f>
        <v>#REF!</v>
      </c>
      <c r="J195" s="28" t="s">
        <v>1199</v>
      </c>
    </row>
    <row r="196" spans="1:10" ht="15.75" hidden="1" x14ac:dyDescent="0.25">
      <c r="A196" s="27" t="s">
        <v>433</v>
      </c>
      <c r="B196" s="1" t="s">
        <v>434</v>
      </c>
      <c r="C196" s="1" t="s">
        <v>435</v>
      </c>
      <c r="D196" s="1" t="s">
        <v>436</v>
      </c>
      <c r="E196" s="1" t="s">
        <v>25</v>
      </c>
      <c r="F196" s="1" t="s">
        <v>437</v>
      </c>
      <c r="G196" s="22" t="s">
        <v>438</v>
      </c>
      <c r="H196" s="1" t="s">
        <v>439</v>
      </c>
      <c r="I196" s="34" t="e">
        <f>HYPERLINK(DiscoveryTable5[[#This Row],[Case Number]],COUNTIF(#REF!,DiscoveryTable5[[#This Row],[Case Number]]))</f>
        <v>#REF!</v>
      </c>
      <c r="J196" s="28" t="s">
        <v>440</v>
      </c>
    </row>
    <row r="197" spans="1:10" ht="63" hidden="1" x14ac:dyDescent="0.25">
      <c r="A197" s="27" t="s">
        <v>1200</v>
      </c>
      <c r="B197" s="1" t="s">
        <v>1201</v>
      </c>
      <c r="C197" s="1" t="s">
        <v>23</v>
      </c>
      <c r="D197" s="1" t="s">
        <v>436</v>
      </c>
      <c r="E197" s="1" t="s">
        <v>25</v>
      </c>
      <c r="F197" s="1" t="s">
        <v>26</v>
      </c>
      <c r="G197" s="22" t="s">
        <v>1202</v>
      </c>
      <c r="H197" s="1" t="s">
        <v>1203</v>
      </c>
      <c r="I197" s="34" t="e">
        <f>HYPERLINK(DiscoveryTable5[[#This Row],[Case Number]],COUNTIF(#REF!,DiscoveryTable5[[#This Row],[Case Number]]))</f>
        <v>#REF!</v>
      </c>
      <c r="J197" s="28" t="s">
        <v>1204</v>
      </c>
    </row>
    <row r="198" spans="1:10" ht="126" hidden="1" x14ac:dyDescent="0.25">
      <c r="A198" s="27" t="s">
        <v>1205</v>
      </c>
      <c r="B198" s="1" t="s">
        <v>1206</v>
      </c>
      <c r="C198" s="1" t="s">
        <v>23</v>
      </c>
      <c r="D198" s="1" t="s">
        <v>436</v>
      </c>
      <c r="E198" s="1" t="s">
        <v>1207</v>
      </c>
      <c r="F198" s="1" t="s">
        <v>1208</v>
      </c>
      <c r="G198" s="22" t="s">
        <v>1209</v>
      </c>
      <c r="H198" s="1" t="s">
        <v>1210</v>
      </c>
      <c r="I198" s="34" t="e">
        <f>HYPERLINK(DiscoveryTable5[[#This Row],[Case Number]],COUNTIF(#REF!,DiscoveryTable5[[#This Row],[Case Number]]))</f>
        <v>#REF!</v>
      </c>
      <c r="J198" s="28" t="s">
        <v>1211</v>
      </c>
    </row>
    <row r="199" spans="1:10" ht="204.75" x14ac:dyDescent="0.25">
      <c r="A199" s="27" t="s">
        <v>388</v>
      </c>
      <c r="B199" s="1" t="s">
        <v>389</v>
      </c>
      <c r="C199" s="1" t="s">
        <v>390</v>
      </c>
      <c r="D199" s="1" t="s">
        <v>391</v>
      </c>
      <c r="E199" s="1" t="s">
        <v>25</v>
      </c>
      <c r="F199" s="1" t="s">
        <v>392</v>
      </c>
      <c r="G199" s="22" t="s">
        <v>393</v>
      </c>
      <c r="H199" s="1" t="s">
        <v>394</v>
      </c>
      <c r="I199" s="34" t="e">
        <f>HYPERLINK(DiscoveryTable5[[#This Row],[Case Number]],COUNTIF(#REF!,DiscoveryTable5[[#This Row],[Case Number]]))</f>
        <v>#REF!</v>
      </c>
      <c r="J199" s="28" t="s">
        <v>395</v>
      </c>
    </row>
    <row r="200" spans="1:10" ht="94.5" hidden="1" x14ac:dyDescent="0.25">
      <c r="A200" s="27" t="s">
        <v>1212</v>
      </c>
      <c r="B200" s="1" t="s">
        <v>1213</v>
      </c>
      <c r="C200" s="1" t="s">
        <v>1214</v>
      </c>
      <c r="D200" s="1" t="s">
        <v>391</v>
      </c>
      <c r="E200" s="1" t="s">
        <v>34</v>
      </c>
      <c r="F200" s="1" t="s">
        <v>35</v>
      </c>
      <c r="G200" s="22" t="s">
        <v>1215</v>
      </c>
      <c r="H200" s="1" t="s">
        <v>1216</v>
      </c>
      <c r="I200" s="34" t="e">
        <f>HYPERLINK(DiscoveryTable5[[#This Row],[Case Number]],COUNTIF(#REF!,DiscoveryTable5[[#This Row],[Case Number]]))</f>
        <v>#REF!</v>
      </c>
      <c r="J200" s="28" t="s">
        <v>1217</v>
      </c>
    </row>
    <row r="201" spans="1:10" ht="157.5" hidden="1" x14ac:dyDescent="0.25">
      <c r="A201" s="27" t="s">
        <v>1218</v>
      </c>
      <c r="B201" s="1" t="s">
        <v>1219</v>
      </c>
      <c r="C201" s="1" t="s">
        <v>23</v>
      </c>
      <c r="D201" s="1" t="s">
        <v>420</v>
      </c>
      <c r="E201" s="1" t="s">
        <v>25</v>
      </c>
      <c r="F201" s="1" t="s">
        <v>26</v>
      </c>
      <c r="G201" s="22" t="s">
        <v>1220</v>
      </c>
      <c r="H201" s="1" t="s">
        <v>1221</v>
      </c>
      <c r="I201" s="34" t="e">
        <f>HYPERLINK(DiscoveryTable5[[#This Row],[Case Number]],COUNTIF(#REF!,DiscoveryTable5[[#This Row],[Case Number]]))</f>
        <v>#REF!</v>
      </c>
      <c r="J201" s="28" t="s">
        <v>1222</v>
      </c>
    </row>
    <row r="202" spans="1:10" ht="94.5" hidden="1" x14ac:dyDescent="0.25">
      <c r="A202" s="27" t="s">
        <v>1223</v>
      </c>
      <c r="B202" s="1" t="s">
        <v>1224</v>
      </c>
      <c r="C202" s="1" t="s">
        <v>1225</v>
      </c>
      <c r="D202" s="1" t="s">
        <v>420</v>
      </c>
      <c r="E202" s="1" t="s">
        <v>25</v>
      </c>
      <c r="F202" s="1" t="s">
        <v>26</v>
      </c>
      <c r="G202" s="22" t="s">
        <v>1226</v>
      </c>
      <c r="H202" s="1" t="s">
        <v>1227</v>
      </c>
      <c r="I202" s="34" t="e">
        <f>HYPERLINK(DiscoveryTable5[[#This Row],[Case Number]],COUNTIF(#REF!,DiscoveryTable5[[#This Row],[Case Number]]))</f>
        <v>#REF!</v>
      </c>
      <c r="J202" s="28" t="s">
        <v>1228</v>
      </c>
    </row>
    <row r="203" spans="1:10" ht="78.75" hidden="1" x14ac:dyDescent="0.25">
      <c r="A203" s="27" t="s">
        <v>418</v>
      </c>
      <c r="B203" s="1" t="s">
        <v>419</v>
      </c>
      <c r="C203" s="1" t="s">
        <v>23</v>
      </c>
      <c r="D203" s="1" t="s">
        <v>420</v>
      </c>
      <c r="E203" s="1" t="s">
        <v>25</v>
      </c>
      <c r="F203" s="1" t="s">
        <v>421</v>
      </c>
      <c r="G203" s="22" t="s">
        <v>422</v>
      </c>
      <c r="H203" s="1" t="s">
        <v>423</v>
      </c>
      <c r="I203" s="34" t="e">
        <f>HYPERLINK(DiscoveryTable5[[#This Row],[Case Number]],COUNTIF(#REF!,DiscoveryTable5[[#This Row],[Case Number]]))</f>
        <v>#REF!</v>
      </c>
      <c r="J203" s="28" t="s">
        <v>424</v>
      </c>
    </row>
    <row r="204" spans="1:10" ht="110.25" x14ac:dyDescent="0.25">
      <c r="A204" s="27" t="s">
        <v>441</v>
      </c>
      <c r="B204" s="1" t="s">
        <v>442</v>
      </c>
      <c r="C204" s="1" t="s">
        <v>443</v>
      </c>
      <c r="D204" s="1" t="s">
        <v>420</v>
      </c>
      <c r="E204" s="1" t="s">
        <v>25</v>
      </c>
      <c r="F204" s="1" t="s">
        <v>444</v>
      </c>
      <c r="G204" s="22" t="s">
        <v>445</v>
      </c>
      <c r="H204" s="1" t="s">
        <v>446</v>
      </c>
      <c r="I204" s="34" t="e">
        <f>HYPERLINK(DiscoveryTable5[[#This Row],[Case Number]],COUNTIF(#REF!,DiscoveryTable5[[#This Row],[Case Number]]))</f>
        <v>#REF!</v>
      </c>
      <c r="J204" s="28" t="s">
        <v>447</v>
      </c>
    </row>
    <row r="205" spans="1:10" ht="204.75" x14ac:dyDescent="0.25">
      <c r="A205" s="27" t="s">
        <v>1229</v>
      </c>
      <c r="B205" s="1" t="s">
        <v>1230</v>
      </c>
      <c r="C205" s="1" t="s">
        <v>1231</v>
      </c>
      <c r="D205" s="1" t="s">
        <v>420</v>
      </c>
      <c r="E205" s="1" t="s">
        <v>25</v>
      </c>
      <c r="F205" s="1" t="s">
        <v>26</v>
      </c>
      <c r="G205" s="22" t="s">
        <v>1232</v>
      </c>
      <c r="H205" s="1" t="s">
        <v>1233</v>
      </c>
      <c r="I205" s="34" t="e">
        <f>HYPERLINK(DiscoveryTable5[[#This Row],[Case Number]],COUNTIF(#REF!,DiscoveryTable5[[#This Row],[Case Number]]))</f>
        <v>#REF!</v>
      </c>
      <c r="J205" s="28" t="s">
        <v>1234</v>
      </c>
    </row>
    <row r="206" spans="1:10" ht="189" x14ac:dyDescent="0.25">
      <c r="A206" s="27" t="s">
        <v>1235</v>
      </c>
      <c r="B206" s="1" t="s">
        <v>1236</v>
      </c>
      <c r="C206" s="1" t="s">
        <v>23</v>
      </c>
      <c r="D206" s="1" t="s">
        <v>1237</v>
      </c>
      <c r="E206" s="1" t="s">
        <v>25</v>
      </c>
      <c r="F206" s="1" t="s">
        <v>26</v>
      </c>
      <c r="G206" s="22" t="s">
        <v>1238</v>
      </c>
      <c r="H206" s="1" t="s">
        <v>1239</v>
      </c>
      <c r="I206" s="34" t="e">
        <f>HYPERLINK(DiscoveryTable5[[#This Row],[Case Number]],COUNTIF(#REF!,DiscoveryTable5[[#This Row],[Case Number]]))</f>
        <v>#REF!</v>
      </c>
      <c r="J206" s="28" t="s">
        <v>1240</v>
      </c>
    </row>
    <row r="207" spans="1:10" ht="15.75" x14ac:dyDescent="0.25">
      <c r="A207" s="27" t="s">
        <v>1246</v>
      </c>
      <c r="B207" s="1" t="s">
        <v>1247</v>
      </c>
      <c r="C207" s="1" t="s">
        <v>1248</v>
      </c>
      <c r="D207" s="1" t="s">
        <v>1237</v>
      </c>
      <c r="E207" s="1" t="s">
        <v>25</v>
      </c>
      <c r="F207" s="1" t="s">
        <v>26</v>
      </c>
      <c r="G207" s="22" t="s">
        <v>1249</v>
      </c>
      <c r="H207" s="1" t="s">
        <v>1250</v>
      </c>
      <c r="I207" s="34" t="e">
        <f>HYPERLINK(DiscoveryTable5[[#This Row],[Case Number]],COUNTIF(#REF!,DiscoveryTable5[[#This Row],[Case Number]]))</f>
        <v>#REF!</v>
      </c>
      <c r="J207" s="28" t="s">
        <v>1251</v>
      </c>
    </row>
    <row r="208" spans="1:10" ht="15.75" x14ac:dyDescent="0.25">
      <c r="A208" s="27" t="s">
        <v>1252</v>
      </c>
      <c r="B208" s="1" t="s">
        <v>1253</v>
      </c>
      <c r="C208" s="1" t="s">
        <v>1254</v>
      </c>
      <c r="D208" s="1" t="s">
        <v>1237</v>
      </c>
      <c r="E208" s="1" t="s">
        <v>25</v>
      </c>
      <c r="F208" s="1" t="s">
        <v>26</v>
      </c>
      <c r="G208" s="22" t="s">
        <v>1255</v>
      </c>
      <c r="H208" s="1" t="s">
        <v>1256</v>
      </c>
      <c r="I208" s="34" t="e">
        <f>HYPERLINK(DiscoveryTable5[[#This Row],[Case Number]],COUNTIF(#REF!,DiscoveryTable5[[#This Row],[Case Number]]))</f>
        <v>#REF!</v>
      </c>
      <c r="J208" s="28" t="s">
        <v>1257</v>
      </c>
    </row>
    <row r="209" spans="1:10" ht="15.75" x14ac:dyDescent="0.25">
      <c r="A209" s="27" t="s">
        <v>1241</v>
      </c>
      <c r="B209" s="1" t="s">
        <v>1242</v>
      </c>
      <c r="C209" s="1" t="s">
        <v>23</v>
      </c>
      <c r="D209" s="1" t="s">
        <v>1237</v>
      </c>
      <c r="E209" s="1" t="s">
        <v>25</v>
      </c>
      <c r="F209" s="1" t="s">
        <v>26</v>
      </c>
      <c r="G209" s="22" t="s">
        <v>1243</v>
      </c>
      <c r="H209" s="1" t="s">
        <v>1244</v>
      </c>
      <c r="I209" s="34" t="e">
        <f>HYPERLINK(DiscoveryTable5[[#This Row],[Case Number]],COUNTIF(#REF!,DiscoveryTable5[[#This Row],[Case Number]]))</f>
        <v>#REF!</v>
      </c>
      <c r="J209" s="28" t="s">
        <v>1245</v>
      </c>
    </row>
    <row r="210" spans="1:10" ht="15.75" x14ac:dyDescent="0.25">
      <c r="A210" s="27" t="s">
        <v>1258</v>
      </c>
      <c r="B210" s="1" t="s">
        <v>1259</v>
      </c>
      <c r="C210" s="1" t="s">
        <v>23</v>
      </c>
      <c r="D210" s="1" t="s">
        <v>1237</v>
      </c>
      <c r="E210" s="1" t="s">
        <v>25</v>
      </c>
      <c r="F210" s="1" t="s">
        <v>26</v>
      </c>
      <c r="G210" s="22" t="s">
        <v>1260</v>
      </c>
      <c r="H210" s="1" t="s">
        <v>1261</v>
      </c>
      <c r="I210" s="34" t="e">
        <f>HYPERLINK(DiscoveryTable5[[#This Row],[Case Number]],COUNTIF(#REF!,DiscoveryTable5[[#This Row],[Case Number]]))</f>
        <v>#REF!</v>
      </c>
      <c r="J210" s="28" t="s">
        <v>1262</v>
      </c>
    </row>
    <row r="211" spans="1:10" ht="15.75" x14ac:dyDescent="0.25">
      <c r="A211" s="27" t="s">
        <v>1263</v>
      </c>
      <c r="B211" s="1" t="s">
        <v>1264</v>
      </c>
      <c r="C211" s="1" t="s">
        <v>23</v>
      </c>
      <c r="D211" s="1" t="s">
        <v>1237</v>
      </c>
      <c r="E211" s="1" t="s">
        <v>25</v>
      </c>
      <c r="F211" s="1" t="s">
        <v>26</v>
      </c>
      <c r="G211" s="22" t="s">
        <v>1265</v>
      </c>
      <c r="H211" s="1" t="s">
        <v>1266</v>
      </c>
      <c r="I211" s="34" t="e">
        <f>HYPERLINK(DiscoveryTable5[[#This Row],[Case Number]],COUNTIF(#REF!,DiscoveryTable5[[#This Row],[Case Number]]))</f>
        <v>#REF!</v>
      </c>
      <c r="J211" s="28" t="s">
        <v>1267</v>
      </c>
    </row>
    <row r="212" spans="1:10" ht="110.25" hidden="1" x14ac:dyDescent="0.25">
      <c r="A212" s="27" t="s">
        <v>1268</v>
      </c>
      <c r="B212" s="1" t="s">
        <v>1269</v>
      </c>
      <c r="C212" s="1" t="s">
        <v>1270</v>
      </c>
      <c r="D212" s="1" t="s">
        <v>1271</v>
      </c>
      <c r="E212" s="1" t="s">
        <v>25</v>
      </c>
      <c r="F212" s="1" t="s">
        <v>26</v>
      </c>
      <c r="G212" s="22" t="s">
        <v>1272</v>
      </c>
      <c r="H212" s="1" t="s">
        <v>1273</v>
      </c>
      <c r="I212" s="34" t="e">
        <f>HYPERLINK(DiscoveryTable5[[#This Row],[Case Number]],COUNTIF(#REF!,DiscoveryTable5[[#This Row],[Case Number]]))</f>
        <v>#REF!</v>
      </c>
      <c r="J212" s="28" t="s">
        <v>1274</v>
      </c>
    </row>
    <row r="213" spans="1:10" ht="31.5" x14ac:dyDescent="0.25">
      <c r="A213" s="27" t="s">
        <v>1275</v>
      </c>
      <c r="B213" s="1" t="s">
        <v>1276</v>
      </c>
      <c r="C213" s="1" t="s">
        <v>1277</v>
      </c>
      <c r="D213" s="1" t="s">
        <v>1271</v>
      </c>
      <c r="E213" s="1" t="s">
        <v>25</v>
      </c>
      <c r="F213" s="1" t="s">
        <v>26</v>
      </c>
      <c r="G213" s="22" t="s">
        <v>1278</v>
      </c>
      <c r="H213" s="1" t="s">
        <v>1279</v>
      </c>
      <c r="I213" s="34" t="e">
        <f>HYPERLINK(DiscoveryTable5[[#This Row],[Case Number]],COUNTIF(#REF!,DiscoveryTable5[[#This Row],[Case Number]]))</f>
        <v>#REF!</v>
      </c>
      <c r="J213" s="28" t="s">
        <v>1280</v>
      </c>
    </row>
    <row r="214" spans="1:10" ht="15.75" x14ac:dyDescent="0.25">
      <c r="A214" s="27" t="s">
        <v>1281</v>
      </c>
      <c r="B214" s="1" t="s">
        <v>1282</v>
      </c>
      <c r="C214" s="1" t="s">
        <v>23</v>
      </c>
      <c r="D214" s="1" t="s">
        <v>1271</v>
      </c>
      <c r="E214" s="1" t="s">
        <v>25</v>
      </c>
      <c r="F214" s="1" t="s">
        <v>26</v>
      </c>
      <c r="G214" s="22" t="s">
        <v>1283</v>
      </c>
      <c r="H214" s="1" t="s">
        <v>1284</v>
      </c>
      <c r="I214" s="34" t="e">
        <f>HYPERLINK(DiscoveryTable5[[#This Row],[Case Number]],COUNTIF(#REF!,DiscoveryTable5[[#This Row],[Case Number]]))</f>
        <v>#REF!</v>
      </c>
      <c r="J214" s="28" t="s">
        <v>1285</v>
      </c>
    </row>
    <row r="215" spans="1:10" ht="15.75" x14ac:dyDescent="0.25">
      <c r="A215" s="27" t="s">
        <v>1286</v>
      </c>
      <c r="B215" s="1" t="s">
        <v>1287</v>
      </c>
      <c r="C215" s="1" t="s">
        <v>23</v>
      </c>
      <c r="D215" s="1" t="s">
        <v>1271</v>
      </c>
      <c r="E215" s="1" t="s">
        <v>25</v>
      </c>
      <c r="F215" s="1" t="s">
        <v>26</v>
      </c>
      <c r="G215" s="22" t="s">
        <v>1288</v>
      </c>
      <c r="H215" s="1" t="s">
        <v>1289</v>
      </c>
      <c r="I215" s="34" t="e">
        <f>HYPERLINK(DiscoveryTable5[[#This Row],[Case Number]],COUNTIF(#REF!,DiscoveryTable5[[#This Row],[Case Number]]))</f>
        <v>#REF!</v>
      </c>
      <c r="J215" s="28" t="s">
        <v>1290</v>
      </c>
    </row>
    <row r="216" spans="1:10" ht="63" x14ac:dyDescent="0.25">
      <c r="A216" s="27" t="s">
        <v>1291</v>
      </c>
      <c r="B216" s="1" t="s">
        <v>1292</v>
      </c>
      <c r="C216" s="1" t="s">
        <v>23</v>
      </c>
      <c r="D216" s="1" t="s">
        <v>1293</v>
      </c>
      <c r="E216" s="1" t="s">
        <v>25</v>
      </c>
      <c r="F216" s="1" t="s">
        <v>26</v>
      </c>
      <c r="G216" s="22" t="s">
        <v>1294</v>
      </c>
      <c r="H216" s="1" t="s">
        <v>1295</v>
      </c>
      <c r="I216" s="34" t="e">
        <f>HYPERLINK(DiscoveryTable5[[#This Row],[Case Number]],COUNTIF(#REF!,DiscoveryTable5[[#This Row],[Case Number]]))</f>
        <v>#REF!</v>
      </c>
      <c r="J216" s="28" t="s">
        <v>1296</v>
      </c>
    </row>
    <row r="217" spans="1:10" ht="47.25" x14ac:dyDescent="0.25">
      <c r="A217" s="27" t="s">
        <v>411</v>
      </c>
      <c r="B217" s="1" t="s">
        <v>412</v>
      </c>
      <c r="C217" s="1" t="s">
        <v>23</v>
      </c>
      <c r="D217" s="1" t="s">
        <v>413</v>
      </c>
      <c r="E217" s="1" t="s">
        <v>25</v>
      </c>
      <c r="F217" s="1" t="s">
        <v>414</v>
      </c>
      <c r="G217" s="22" t="s">
        <v>415</v>
      </c>
      <c r="H217" s="1" t="s">
        <v>416</v>
      </c>
      <c r="I217" s="34" t="e">
        <f>HYPERLINK(DiscoveryTable5[[#This Row],[Case Number]],COUNTIF(#REF!,DiscoveryTable5[[#This Row],[Case Number]]))</f>
        <v>#REF!</v>
      </c>
      <c r="J217" s="28" t="s">
        <v>417</v>
      </c>
    </row>
    <row r="218" spans="1:10" ht="236.25" x14ac:dyDescent="0.25">
      <c r="A218" s="27" t="s">
        <v>1297</v>
      </c>
      <c r="B218" s="1" t="s">
        <v>1298</v>
      </c>
      <c r="C218" s="1" t="s">
        <v>23</v>
      </c>
      <c r="D218" s="1" t="s">
        <v>1299</v>
      </c>
      <c r="E218" s="1" t="s">
        <v>34</v>
      </c>
      <c r="F218" s="1" t="s">
        <v>35</v>
      </c>
      <c r="G218" s="22" t="s">
        <v>1300</v>
      </c>
      <c r="H218" s="1" t="s">
        <v>1301</v>
      </c>
      <c r="I218" s="34" t="e">
        <f>HYPERLINK(DiscoveryTable5[[#This Row],[Case Number]],COUNTIF(#REF!,DiscoveryTable5[[#This Row],[Case Number]]))</f>
        <v>#REF!</v>
      </c>
      <c r="J218" s="28" t="s">
        <v>1302</v>
      </c>
    </row>
    <row r="219" spans="1:10" ht="31.5" x14ac:dyDescent="0.25">
      <c r="A219" s="27" t="s">
        <v>1303</v>
      </c>
      <c r="B219" s="1" t="s">
        <v>1304</v>
      </c>
      <c r="C219" s="1" t="s">
        <v>1305</v>
      </c>
      <c r="D219" s="1" t="s">
        <v>1306</v>
      </c>
      <c r="E219" s="1" t="s">
        <v>25</v>
      </c>
      <c r="F219" s="1" t="s">
        <v>26</v>
      </c>
      <c r="G219" s="22" t="s">
        <v>1307</v>
      </c>
      <c r="H219" s="1" t="s">
        <v>1308</v>
      </c>
      <c r="I219" s="34" t="e">
        <f>HYPERLINK(DiscoveryTable5[[#This Row],[Case Number]],COUNTIF(#REF!,DiscoveryTable5[[#This Row],[Case Number]]))</f>
        <v>#REF!</v>
      </c>
      <c r="J219" s="28" t="s">
        <v>1309</v>
      </c>
    </row>
    <row r="220" spans="1:10" ht="220.5" x14ac:dyDescent="0.25">
      <c r="A220" s="27" t="s">
        <v>1310</v>
      </c>
      <c r="B220" s="1" t="s">
        <v>1311</v>
      </c>
      <c r="C220" s="1" t="s">
        <v>23</v>
      </c>
      <c r="D220" s="1" t="s">
        <v>1306</v>
      </c>
      <c r="E220" s="1" t="s">
        <v>25</v>
      </c>
      <c r="F220" s="1" t="s">
        <v>26</v>
      </c>
      <c r="G220" s="22" t="s">
        <v>1312</v>
      </c>
      <c r="H220" s="1" t="s">
        <v>1313</v>
      </c>
      <c r="I220" s="34" t="e">
        <f>HYPERLINK(DiscoveryTable5[[#This Row],[Case Number]],COUNTIF(#REF!,DiscoveryTable5[[#This Row],[Case Number]]))</f>
        <v>#REF!</v>
      </c>
      <c r="J220" s="28" t="s">
        <v>1314</v>
      </c>
    </row>
    <row r="221" spans="1:10" ht="141.75" hidden="1" x14ac:dyDescent="0.25">
      <c r="A221" s="27" t="s">
        <v>380</v>
      </c>
      <c r="B221" s="1" t="s">
        <v>381</v>
      </c>
      <c r="C221" s="1" t="s">
        <v>382</v>
      </c>
      <c r="D221" s="1" t="s">
        <v>383</v>
      </c>
      <c r="E221" s="1" t="s">
        <v>25</v>
      </c>
      <c r="F221" s="1" t="s">
        <v>384</v>
      </c>
      <c r="G221" s="22" t="s">
        <v>385</v>
      </c>
      <c r="H221" s="1" t="s">
        <v>386</v>
      </c>
      <c r="I221" s="34" t="e">
        <f>HYPERLINK(DiscoveryTable5[[#This Row],[Case Number]],COUNTIF(#REF!,DiscoveryTable5[[#This Row],[Case Number]]))</f>
        <v>#REF!</v>
      </c>
      <c r="J221" s="28" t="s">
        <v>387</v>
      </c>
    </row>
    <row r="222" spans="1:10" ht="47.25" x14ac:dyDescent="0.25">
      <c r="A222" s="27" t="s">
        <v>1315</v>
      </c>
      <c r="B222" s="1" t="s">
        <v>1316</v>
      </c>
      <c r="C222" s="1" t="s">
        <v>23</v>
      </c>
      <c r="D222" s="1" t="s">
        <v>1317</v>
      </c>
      <c r="E222" s="1" t="s">
        <v>25</v>
      </c>
      <c r="F222" s="1" t="s">
        <v>26</v>
      </c>
      <c r="G222" s="22" t="s">
        <v>1318</v>
      </c>
      <c r="H222" s="1" t="s">
        <v>1319</v>
      </c>
      <c r="I222" s="34" t="e">
        <f>HYPERLINK(DiscoveryTable5[[#This Row],[Case Number]],COUNTIF(#REF!,DiscoveryTable5[[#This Row],[Case Number]]))</f>
        <v>#REF!</v>
      </c>
      <c r="J222" s="28" t="s">
        <v>1320</v>
      </c>
    </row>
    <row r="223" spans="1:10" ht="15.75" x14ac:dyDescent="0.25">
      <c r="A223" s="27" t="s">
        <v>1321</v>
      </c>
      <c r="B223" s="1" t="s">
        <v>1322</v>
      </c>
      <c r="C223" s="1" t="s">
        <v>23</v>
      </c>
      <c r="D223" s="1" t="s">
        <v>1317</v>
      </c>
      <c r="E223" s="1" t="s">
        <v>25</v>
      </c>
      <c r="F223" s="1" t="s">
        <v>26</v>
      </c>
      <c r="G223" s="22" t="s">
        <v>1323</v>
      </c>
      <c r="H223" s="1" t="s">
        <v>1324</v>
      </c>
      <c r="I223" s="34" t="e">
        <f>HYPERLINK(DiscoveryTable5[[#This Row],[Case Number]],COUNTIF(#REF!,DiscoveryTable5[[#This Row],[Case Number]]))</f>
        <v>#REF!</v>
      </c>
      <c r="J223" s="28" t="s">
        <v>1325</v>
      </c>
    </row>
    <row r="224" spans="1:10" ht="15.75" x14ac:dyDescent="0.25">
      <c r="A224" s="27" t="s">
        <v>1326</v>
      </c>
      <c r="B224" s="1" t="s">
        <v>1327</v>
      </c>
      <c r="C224" s="1" t="s">
        <v>23</v>
      </c>
      <c r="D224" s="1" t="s">
        <v>1317</v>
      </c>
      <c r="E224" s="1" t="s">
        <v>25</v>
      </c>
      <c r="F224" s="1" t="s">
        <v>26</v>
      </c>
      <c r="G224" s="22" t="s">
        <v>1328</v>
      </c>
      <c r="H224" s="1" t="s">
        <v>1329</v>
      </c>
      <c r="I224" s="34" t="e">
        <f>HYPERLINK(DiscoveryTable5[[#This Row],[Case Number]],COUNTIF(#REF!,DiscoveryTable5[[#This Row],[Case Number]]))</f>
        <v>#REF!</v>
      </c>
      <c r="J224" s="28" t="s">
        <v>1330</v>
      </c>
    </row>
    <row r="225" spans="1:10" ht="15.75" x14ac:dyDescent="0.25">
      <c r="A225" s="27" t="s">
        <v>1331</v>
      </c>
      <c r="B225" s="1" t="s">
        <v>1332</v>
      </c>
      <c r="C225" s="1" t="s">
        <v>1333</v>
      </c>
      <c r="D225" s="1" t="s">
        <v>1317</v>
      </c>
      <c r="E225" s="1" t="s">
        <v>25</v>
      </c>
      <c r="F225" s="1" t="s">
        <v>26</v>
      </c>
      <c r="G225" s="22" t="s">
        <v>1334</v>
      </c>
      <c r="H225" s="1" t="s">
        <v>1335</v>
      </c>
      <c r="I225" s="34" t="e">
        <f>HYPERLINK(DiscoveryTable5[[#This Row],[Case Number]],COUNTIF(#REF!,DiscoveryTable5[[#This Row],[Case Number]]))</f>
        <v>#REF!</v>
      </c>
      <c r="J225" s="28" t="s">
        <v>1336</v>
      </c>
    </row>
    <row r="226" spans="1:10" ht="15.75" x14ac:dyDescent="0.25">
      <c r="A226" s="27" t="s">
        <v>1337</v>
      </c>
      <c r="B226" s="1" t="s">
        <v>1338</v>
      </c>
      <c r="C226" s="1" t="s">
        <v>1339</v>
      </c>
      <c r="D226" s="1" t="s">
        <v>1317</v>
      </c>
      <c r="E226" s="1" t="s">
        <v>25</v>
      </c>
      <c r="F226" s="1" t="s">
        <v>26</v>
      </c>
      <c r="G226" s="22" t="s">
        <v>1340</v>
      </c>
      <c r="H226" s="1" t="s">
        <v>1341</v>
      </c>
      <c r="I226" s="34" t="e">
        <f>HYPERLINK(DiscoveryTable5[[#This Row],[Case Number]],COUNTIF(#REF!,DiscoveryTable5[[#This Row],[Case Number]]))</f>
        <v>#REF!</v>
      </c>
      <c r="J226" s="28" t="s">
        <v>1342</v>
      </c>
    </row>
    <row r="227" spans="1:10" ht="15.75" x14ac:dyDescent="0.25">
      <c r="A227" s="27" t="s">
        <v>1343</v>
      </c>
      <c r="B227" s="1" t="s">
        <v>1344</v>
      </c>
      <c r="C227" s="1" t="s">
        <v>1345</v>
      </c>
      <c r="D227" s="1" t="s">
        <v>1317</v>
      </c>
      <c r="E227" s="1" t="s">
        <v>25</v>
      </c>
      <c r="F227" s="1" t="s">
        <v>26</v>
      </c>
      <c r="G227" s="22" t="s">
        <v>1346</v>
      </c>
      <c r="H227" s="1" t="s">
        <v>1347</v>
      </c>
      <c r="I227" s="34" t="e">
        <f>HYPERLINK(DiscoveryTable5[[#This Row],[Case Number]],COUNTIF(#REF!,DiscoveryTable5[[#This Row],[Case Number]]))</f>
        <v>#REF!</v>
      </c>
      <c r="J227" s="28" t="s">
        <v>1348</v>
      </c>
    </row>
    <row r="228" spans="1:10" ht="31.5" x14ac:dyDescent="0.25">
      <c r="A228" s="27" t="s">
        <v>1349</v>
      </c>
      <c r="B228" s="1" t="s">
        <v>1350</v>
      </c>
      <c r="C228" s="1" t="s">
        <v>1351</v>
      </c>
      <c r="D228" s="1" t="s">
        <v>1352</v>
      </c>
      <c r="E228" s="1" t="s">
        <v>25</v>
      </c>
      <c r="F228" s="1" t="s">
        <v>26</v>
      </c>
      <c r="G228" s="22" t="s">
        <v>1353</v>
      </c>
      <c r="H228" s="1" t="s">
        <v>1354</v>
      </c>
      <c r="I228" s="34" t="e">
        <f>HYPERLINK(DiscoveryTable5[[#This Row],[Case Number]],COUNTIF(#REF!,DiscoveryTable5[[#This Row],[Case Number]]))</f>
        <v>#REF!</v>
      </c>
      <c r="J228" s="28" t="s">
        <v>1355</v>
      </c>
    </row>
    <row r="229" spans="1:10" ht="252" hidden="1" x14ac:dyDescent="0.25">
      <c r="A229" s="27" t="s">
        <v>1356</v>
      </c>
      <c r="B229" s="1" t="s">
        <v>1357</v>
      </c>
      <c r="C229" s="1" t="s">
        <v>23</v>
      </c>
      <c r="D229" s="1" t="s">
        <v>1358</v>
      </c>
      <c r="E229" s="1" t="s">
        <v>25</v>
      </c>
      <c r="F229" s="1" t="s">
        <v>26</v>
      </c>
      <c r="G229" s="22" t="s">
        <v>1359</v>
      </c>
      <c r="H229" s="1" t="s">
        <v>1360</v>
      </c>
      <c r="I229" s="34" t="e">
        <f>HYPERLINK(DiscoveryTable5[[#This Row],[Case Number]],COUNTIF(#REF!,DiscoveryTable5[[#This Row],[Case Number]]))</f>
        <v>#REF!</v>
      </c>
      <c r="J229" s="28" t="s">
        <v>1361</v>
      </c>
    </row>
    <row r="230" spans="1:10" ht="15.75" x14ac:dyDescent="0.25">
      <c r="A230" s="27" t="s">
        <v>1362</v>
      </c>
      <c r="B230" s="1" t="s">
        <v>1363</v>
      </c>
      <c r="C230" s="1" t="s">
        <v>1364</v>
      </c>
      <c r="D230" s="1" t="s">
        <v>1365</v>
      </c>
      <c r="E230" s="1" t="s">
        <v>25</v>
      </c>
      <c r="F230" s="1" t="s">
        <v>26</v>
      </c>
      <c r="G230" s="22" t="s">
        <v>1366</v>
      </c>
      <c r="H230" s="1" t="s">
        <v>1367</v>
      </c>
      <c r="I230" s="34" t="e">
        <f>HYPERLINK(DiscoveryTable5[[#This Row],[Case Number]],COUNTIF(#REF!,DiscoveryTable5[[#This Row],[Case Number]]))</f>
        <v>#REF!</v>
      </c>
      <c r="J230" s="28" t="s">
        <v>1368</v>
      </c>
    </row>
    <row r="231" spans="1:10" ht="15.75" x14ac:dyDescent="0.25">
      <c r="A231" s="27" t="s">
        <v>1369</v>
      </c>
      <c r="B231" s="1" t="s">
        <v>1370</v>
      </c>
      <c r="C231" s="1" t="s">
        <v>1371</v>
      </c>
      <c r="D231" s="1" t="s">
        <v>1372</v>
      </c>
      <c r="E231" s="1" t="s">
        <v>25</v>
      </c>
      <c r="F231" s="1" t="s">
        <v>26</v>
      </c>
      <c r="G231" s="22" t="s">
        <v>1373</v>
      </c>
      <c r="H231" s="1" t="s">
        <v>1374</v>
      </c>
      <c r="I231" s="34" t="e">
        <f>HYPERLINK(DiscoveryTable5[[#This Row],[Case Number]],COUNTIF(#REF!,DiscoveryTable5[[#This Row],[Case Number]]))</f>
        <v>#REF!</v>
      </c>
      <c r="J231" s="28" t="s">
        <v>1375</v>
      </c>
    </row>
    <row r="232" spans="1:10" ht="236.25" x14ac:dyDescent="0.25">
      <c r="A232" s="27" t="s">
        <v>564</v>
      </c>
      <c r="B232" s="1" t="s">
        <v>565</v>
      </c>
      <c r="C232" s="1" t="s">
        <v>566</v>
      </c>
      <c r="D232" s="1" t="s">
        <v>567</v>
      </c>
      <c r="E232" s="1" t="s">
        <v>25</v>
      </c>
      <c r="F232" s="1" t="s">
        <v>568</v>
      </c>
      <c r="G232" s="22" t="s">
        <v>569</v>
      </c>
      <c r="H232" s="1" t="s">
        <v>570</v>
      </c>
      <c r="I232" s="34" t="e">
        <f>HYPERLINK(DiscoveryTable5[[#This Row],[Case Number]],COUNTIF(#REF!,DiscoveryTable5[[#This Row],[Case Number]]))</f>
        <v>#REF!</v>
      </c>
      <c r="J232" s="28" t="s">
        <v>571</v>
      </c>
    </row>
    <row r="233" spans="1:10" ht="94.5" x14ac:dyDescent="0.25">
      <c r="A233" s="27" t="s">
        <v>1376</v>
      </c>
      <c r="B233" s="1" t="s">
        <v>1377</v>
      </c>
      <c r="C233" s="1" t="s">
        <v>1378</v>
      </c>
      <c r="D233" s="1" t="s">
        <v>1379</v>
      </c>
      <c r="E233" s="1" t="s">
        <v>1380</v>
      </c>
      <c r="F233" s="1" t="s">
        <v>1381</v>
      </c>
      <c r="G233" s="22" t="s">
        <v>1382</v>
      </c>
      <c r="H233" s="1" t="s">
        <v>1383</v>
      </c>
      <c r="I233" s="34" t="e">
        <f>HYPERLINK(DiscoveryTable5[[#This Row],[Case Number]],COUNTIF(#REF!,DiscoveryTable5[[#This Row],[Case Number]]))</f>
        <v>#REF!</v>
      </c>
      <c r="J233" s="28" t="s">
        <v>1384</v>
      </c>
    </row>
    <row r="234" spans="1:10" ht="283.5" x14ac:dyDescent="0.25">
      <c r="A234" s="27" t="s">
        <v>1385</v>
      </c>
      <c r="B234" s="1" t="s">
        <v>1386</v>
      </c>
      <c r="C234" s="1" t="s">
        <v>23</v>
      </c>
      <c r="D234" s="1" t="s">
        <v>559</v>
      </c>
      <c r="E234" s="1" t="s">
        <v>25</v>
      </c>
      <c r="F234" s="1" t="s">
        <v>26</v>
      </c>
      <c r="G234" s="22" t="s">
        <v>1387</v>
      </c>
      <c r="H234" s="1" t="s">
        <v>1388</v>
      </c>
      <c r="I234" s="34" t="e">
        <f>HYPERLINK(DiscoveryTable5[[#This Row],[Case Number]],COUNTIF(#REF!,DiscoveryTable5[[#This Row],[Case Number]]))</f>
        <v>#REF!</v>
      </c>
      <c r="J234" s="28" t="s">
        <v>1389</v>
      </c>
    </row>
    <row r="235" spans="1:10" ht="15.75" x14ac:dyDescent="0.25">
      <c r="A235" s="27" t="s">
        <v>557</v>
      </c>
      <c r="B235" s="1" t="s">
        <v>558</v>
      </c>
      <c r="C235" s="1" t="s">
        <v>23</v>
      </c>
      <c r="D235" s="1" t="s">
        <v>559</v>
      </c>
      <c r="E235" s="1" t="s">
        <v>25</v>
      </c>
      <c r="F235" s="1" t="s">
        <v>560</v>
      </c>
      <c r="G235" s="22" t="s">
        <v>561</v>
      </c>
      <c r="H235" s="1" t="s">
        <v>562</v>
      </c>
      <c r="I235" s="34" t="e">
        <f>HYPERLINK(DiscoveryTable5[[#This Row],[Case Number]],COUNTIF(#REF!,DiscoveryTable5[[#This Row],[Case Number]]))</f>
        <v>#REF!</v>
      </c>
      <c r="J235" s="28" t="s">
        <v>563</v>
      </c>
    </row>
    <row r="236" spans="1:10" ht="63" x14ac:dyDescent="0.25">
      <c r="A236" s="27" t="s">
        <v>1675</v>
      </c>
      <c r="B236" s="1" t="s">
        <v>1676</v>
      </c>
      <c r="C236" s="1" t="s">
        <v>1677</v>
      </c>
      <c r="D236" s="1" t="s">
        <v>1678</v>
      </c>
      <c r="E236" s="1" t="s">
        <v>25</v>
      </c>
      <c r="F236" s="1" t="s">
        <v>1679</v>
      </c>
      <c r="G236" s="22" t="s">
        <v>1680</v>
      </c>
      <c r="H236" s="1" t="s">
        <v>1681</v>
      </c>
      <c r="I236" s="34" t="e">
        <f>HYPERLINK(DiscoveryTable5[[#This Row],[Case Number]],COUNTIF(#REF!,DiscoveryTable5[[#This Row],[Case Number]]))</f>
        <v>#REF!</v>
      </c>
      <c r="J236" s="28" t="s">
        <v>1682</v>
      </c>
    </row>
    <row r="237" spans="1:10" ht="220.5" hidden="1" x14ac:dyDescent="0.25">
      <c r="A237" s="27" t="s">
        <v>1390</v>
      </c>
      <c r="B237" s="1" t="s">
        <v>1391</v>
      </c>
      <c r="C237" s="1" t="s">
        <v>1392</v>
      </c>
      <c r="D237" s="1" t="s">
        <v>1393</v>
      </c>
      <c r="E237" s="1" t="s">
        <v>25</v>
      </c>
      <c r="F237" s="1" t="s">
        <v>26</v>
      </c>
      <c r="G237" s="22" t="s">
        <v>1394</v>
      </c>
      <c r="H237" s="1" t="s">
        <v>1395</v>
      </c>
      <c r="I237" s="34" t="e">
        <f>HYPERLINK(DiscoveryTable5[[#This Row],[Case Number]],COUNTIF(#REF!,DiscoveryTable5[[#This Row],[Case Number]]))</f>
        <v>#REF!</v>
      </c>
      <c r="J237" s="28" t="s">
        <v>1396</v>
      </c>
    </row>
    <row r="238" spans="1:10" ht="126" x14ac:dyDescent="0.25">
      <c r="A238" s="27" t="s">
        <v>1397</v>
      </c>
      <c r="B238" s="1" t="s">
        <v>1398</v>
      </c>
      <c r="C238" s="1" t="s">
        <v>23</v>
      </c>
      <c r="D238" s="1" t="s">
        <v>1399</v>
      </c>
      <c r="E238" s="1" t="s">
        <v>25</v>
      </c>
      <c r="F238" s="1" t="s">
        <v>26</v>
      </c>
      <c r="G238" s="22" t="s">
        <v>1400</v>
      </c>
      <c r="H238" s="1" t="s">
        <v>1401</v>
      </c>
      <c r="I238" s="34" t="e">
        <f>HYPERLINK(DiscoveryTable5[[#This Row],[Case Number]],COUNTIF(#REF!,DiscoveryTable5[[#This Row],[Case Number]]))</f>
        <v>#REF!</v>
      </c>
      <c r="J238" s="28" t="s">
        <v>1402</v>
      </c>
    </row>
    <row r="239" spans="1:10" ht="267.75" x14ac:dyDescent="0.25">
      <c r="A239" s="27" t="s">
        <v>517</v>
      </c>
      <c r="B239" s="1" t="s">
        <v>518</v>
      </c>
      <c r="C239" s="1" t="s">
        <v>519</v>
      </c>
      <c r="D239" s="1" t="s">
        <v>484</v>
      </c>
      <c r="E239" s="1" t="s">
        <v>25</v>
      </c>
      <c r="F239" s="1" t="s">
        <v>520</v>
      </c>
      <c r="G239" s="22" t="s">
        <v>521</v>
      </c>
      <c r="H239" s="1" t="s">
        <v>522</v>
      </c>
      <c r="I239" s="34" t="e">
        <f>HYPERLINK(DiscoveryTable5[[#This Row],[Case Number]],COUNTIF(#REF!,DiscoveryTable5[[#This Row],[Case Number]]))</f>
        <v>#REF!</v>
      </c>
      <c r="J239" s="28" t="s">
        <v>523</v>
      </c>
    </row>
    <row r="240" spans="1:10" ht="94.5" hidden="1" x14ac:dyDescent="0.25">
      <c r="A240" s="27" t="s">
        <v>1403</v>
      </c>
      <c r="B240" s="1" t="s">
        <v>1404</v>
      </c>
      <c r="C240" s="1" t="s">
        <v>23</v>
      </c>
      <c r="D240" s="1" t="s">
        <v>484</v>
      </c>
      <c r="E240" s="1" t="s">
        <v>25</v>
      </c>
      <c r="F240" s="1" t="s">
        <v>26</v>
      </c>
      <c r="G240" s="22" t="s">
        <v>1405</v>
      </c>
      <c r="H240" s="1" t="s">
        <v>1406</v>
      </c>
      <c r="I240" s="34" t="e">
        <f>HYPERLINK(DiscoveryTable5[[#This Row],[Case Number]],COUNTIF(#REF!,DiscoveryTable5[[#This Row],[Case Number]]))</f>
        <v>#REF!</v>
      </c>
      <c r="J240" s="28" t="s">
        <v>1407</v>
      </c>
    </row>
    <row r="241" spans="1:10" ht="15.75" x14ac:dyDescent="0.25">
      <c r="A241" s="27" t="s">
        <v>1390</v>
      </c>
      <c r="B241" s="1" t="s">
        <v>1391</v>
      </c>
      <c r="C241" s="1" t="s">
        <v>23</v>
      </c>
      <c r="D241" s="1" t="s">
        <v>484</v>
      </c>
      <c r="E241" s="1" t="s">
        <v>25</v>
      </c>
      <c r="F241" s="1" t="s">
        <v>26</v>
      </c>
      <c r="G241" s="22" t="s">
        <v>1373</v>
      </c>
      <c r="H241" s="1" t="s">
        <v>1408</v>
      </c>
      <c r="I241" s="34" t="e">
        <f>HYPERLINK(DiscoveryTable5[[#This Row],[Case Number]],COUNTIF(#REF!,DiscoveryTable5[[#This Row],[Case Number]]))</f>
        <v>#REF!</v>
      </c>
      <c r="J241" s="28" t="s">
        <v>1409</v>
      </c>
    </row>
    <row r="242" spans="1:10" ht="31.5" x14ac:dyDescent="0.25">
      <c r="A242" s="27" t="s">
        <v>1410</v>
      </c>
      <c r="B242" s="1" t="s">
        <v>1411</v>
      </c>
      <c r="C242" s="1" t="s">
        <v>23</v>
      </c>
      <c r="D242" s="1" t="s">
        <v>484</v>
      </c>
      <c r="E242" s="1" t="s">
        <v>25</v>
      </c>
      <c r="F242" s="1" t="s">
        <v>26</v>
      </c>
      <c r="G242" s="22" t="s">
        <v>1412</v>
      </c>
      <c r="H242" s="1" t="s">
        <v>1413</v>
      </c>
      <c r="I242" s="34" t="e">
        <f>HYPERLINK(DiscoveryTable5[[#This Row],[Case Number]],COUNTIF(#REF!,DiscoveryTable5[[#This Row],[Case Number]]))</f>
        <v>#REF!</v>
      </c>
      <c r="J242" s="28" t="s">
        <v>1414</v>
      </c>
    </row>
    <row r="243" spans="1:10" ht="141.75" x14ac:dyDescent="0.25">
      <c r="A243" s="27" t="s">
        <v>1420</v>
      </c>
      <c r="B243" s="1" t="s">
        <v>1421</v>
      </c>
      <c r="C243" s="1" t="s">
        <v>23</v>
      </c>
      <c r="D243" s="1" t="s">
        <v>484</v>
      </c>
      <c r="E243" s="1" t="s">
        <v>25</v>
      </c>
      <c r="F243" s="1" t="s">
        <v>26</v>
      </c>
      <c r="G243" s="22" t="s">
        <v>1422</v>
      </c>
      <c r="H243" s="1" t="s">
        <v>1423</v>
      </c>
      <c r="I243" s="34" t="e">
        <f>HYPERLINK(DiscoveryTable5[[#This Row],[Case Number]],COUNTIF(#REF!,DiscoveryTable5[[#This Row],[Case Number]]))</f>
        <v>#REF!</v>
      </c>
      <c r="J243" s="28" t="s">
        <v>1424</v>
      </c>
    </row>
    <row r="244" spans="1:10" ht="31.5" hidden="1" x14ac:dyDescent="0.25">
      <c r="A244" s="27" t="s">
        <v>1415</v>
      </c>
      <c r="B244" s="1" t="s">
        <v>1416</v>
      </c>
      <c r="C244" s="1" t="s">
        <v>23</v>
      </c>
      <c r="D244" s="1" t="s">
        <v>484</v>
      </c>
      <c r="E244" s="1" t="s">
        <v>25</v>
      </c>
      <c r="F244" s="1" t="s">
        <v>26</v>
      </c>
      <c r="G244" s="22" t="s">
        <v>1417</v>
      </c>
      <c r="H244" s="1" t="s">
        <v>1418</v>
      </c>
      <c r="I244" s="34" t="e">
        <f>HYPERLINK(DiscoveryTable5[[#This Row],[Case Number]],COUNTIF(#REF!,DiscoveryTable5[[#This Row],[Case Number]]))</f>
        <v>#REF!</v>
      </c>
      <c r="J244" s="28" t="s">
        <v>1419</v>
      </c>
    </row>
    <row r="245" spans="1:10" ht="141.75" x14ac:dyDescent="0.25">
      <c r="A245" s="27" t="s">
        <v>1425</v>
      </c>
      <c r="B245" s="1" t="s">
        <v>1426</v>
      </c>
      <c r="C245" s="1" t="s">
        <v>23</v>
      </c>
      <c r="D245" s="1" t="s">
        <v>484</v>
      </c>
      <c r="E245" s="1" t="s">
        <v>25</v>
      </c>
      <c r="F245" s="1" t="s">
        <v>26</v>
      </c>
      <c r="G245" s="22" t="s">
        <v>1427</v>
      </c>
      <c r="H245" s="1" t="s">
        <v>1428</v>
      </c>
      <c r="I245" s="34" t="e">
        <f>HYPERLINK(DiscoveryTable5[[#This Row],[Case Number]],COUNTIF(#REF!,DiscoveryTable5[[#This Row],[Case Number]]))</f>
        <v>#REF!</v>
      </c>
      <c r="J245" s="28" t="s">
        <v>1429</v>
      </c>
    </row>
    <row r="246" spans="1:10" ht="31.5" x14ac:dyDescent="0.25">
      <c r="A246" s="27" t="s">
        <v>1430</v>
      </c>
      <c r="B246" s="1" t="s">
        <v>1431</v>
      </c>
      <c r="C246" s="1" t="s">
        <v>23</v>
      </c>
      <c r="D246" s="1" t="s">
        <v>484</v>
      </c>
      <c r="E246" s="1" t="s">
        <v>25</v>
      </c>
      <c r="F246" s="1" t="s">
        <v>26</v>
      </c>
      <c r="G246" s="22" t="s">
        <v>1432</v>
      </c>
      <c r="H246" s="1" t="s">
        <v>1433</v>
      </c>
      <c r="I246" s="34" t="e">
        <f>HYPERLINK(DiscoveryTable5[[#This Row],[Case Number]],COUNTIF(#REF!,DiscoveryTable5[[#This Row],[Case Number]]))</f>
        <v>#REF!</v>
      </c>
      <c r="J246" s="28" t="s">
        <v>1434</v>
      </c>
    </row>
    <row r="247" spans="1:10" ht="31.5" hidden="1" x14ac:dyDescent="0.25">
      <c r="A247" s="27" t="s">
        <v>1435</v>
      </c>
      <c r="B247" s="1" t="s">
        <v>1436</v>
      </c>
      <c r="C247" s="1" t="s">
        <v>23</v>
      </c>
      <c r="D247" s="1" t="s">
        <v>484</v>
      </c>
      <c r="E247" s="1" t="s">
        <v>25</v>
      </c>
      <c r="F247" s="1" t="s">
        <v>26</v>
      </c>
      <c r="G247" s="22" t="s">
        <v>1437</v>
      </c>
      <c r="H247" s="1" t="s">
        <v>1438</v>
      </c>
      <c r="I247" s="34" t="e">
        <f>HYPERLINK(DiscoveryTable5[[#This Row],[Case Number]],COUNTIF(#REF!,DiscoveryTable5[[#This Row],[Case Number]]))</f>
        <v>#REF!</v>
      </c>
      <c r="J247" s="28" t="s">
        <v>1439</v>
      </c>
    </row>
    <row r="248" spans="1:10" ht="78.75" x14ac:dyDescent="0.25">
      <c r="A248" s="27" t="s">
        <v>482</v>
      </c>
      <c r="B248" s="1" t="s">
        <v>483</v>
      </c>
      <c r="C248" s="1" t="s">
        <v>23</v>
      </c>
      <c r="D248" s="1" t="s">
        <v>484</v>
      </c>
      <c r="E248" s="1" t="s">
        <v>25</v>
      </c>
      <c r="F248" s="1" t="s">
        <v>485</v>
      </c>
      <c r="G248" s="22" t="s">
        <v>486</v>
      </c>
      <c r="H248" s="1" t="s">
        <v>487</v>
      </c>
      <c r="I248" s="34" t="e">
        <f>HYPERLINK(DiscoveryTable5[[#This Row],[Case Number]],COUNTIF(#REF!,DiscoveryTable5[[#This Row],[Case Number]]))</f>
        <v>#REF!</v>
      </c>
      <c r="J248" s="28" t="s">
        <v>488</v>
      </c>
    </row>
    <row r="249" spans="1:10" ht="63" hidden="1" x14ac:dyDescent="0.25">
      <c r="A249" s="27" t="s">
        <v>1440</v>
      </c>
      <c r="B249" s="1" t="s">
        <v>1441</v>
      </c>
      <c r="C249" s="1" t="s">
        <v>23</v>
      </c>
      <c r="D249" s="1" t="s">
        <v>484</v>
      </c>
      <c r="E249" s="1" t="s">
        <v>25</v>
      </c>
      <c r="F249" s="1" t="s">
        <v>26</v>
      </c>
      <c r="G249" s="22" t="s">
        <v>1442</v>
      </c>
      <c r="H249" s="1" t="s">
        <v>1443</v>
      </c>
      <c r="I249" s="34" t="e">
        <f>HYPERLINK(DiscoveryTable5[[#This Row],[Case Number]],COUNTIF(#REF!,DiscoveryTable5[[#This Row],[Case Number]]))</f>
        <v>#REF!</v>
      </c>
      <c r="J249" s="28" t="s">
        <v>1444</v>
      </c>
    </row>
    <row r="250" spans="1:10" ht="110.25" hidden="1" x14ac:dyDescent="0.25">
      <c r="A250" s="27" t="s">
        <v>1445</v>
      </c>
      <c r="B250" s="1" t="s">
        <v>1446</v>
      </c>
      <c r="C250" s="1" t="s">
        <v>23</v>
      </c>
      <c r="D250" s="1" t="s">
        <v>484</v>
      </c>
      <c r="E250" s="1" t="s">
        <v>25</v>
      </c>
      <c r="F250" s="1" t="s">
        <v>26</v>
      </c>
      <c r="G250" s="22" t="s">
        <v>1447</v>
      </c>
      <c r="H250" s="1" t="s">
        <v>1448</v>
      </c>
      <c r="I250" s="34" t="e">
        <f>HYPERLINK(DiscoveryTable5[[#This Row],[Case Number]],COUNTIF(#REF!,DiscoveryTable5[[#This Row],[Case Number]]))</f>
        <v>#REF!</v>
      </c>
      <c r="J250" s="28" t="s">
        <v>1449</v>
      </c>
    </row>
    <row r="251" spans="1:10" ht="31.5" hidden="1" x14ac:dyDescent="0.25">
      <c r="A251" s="27" t="s">
        <v>1450</v>
      </c>
      <c r="B251" s="1" t="s">
        <v>1451</v>
      </c>
      <c r="C251" s="1" t="s">
        <v>1452</v>
      </c>
      <c r="D251" s="1" t="s">
        <v>457</v>
      </c>
      <c r="E251" s="1" t="s">
        <v>34</v>
      </c>
      <c r="F251" s="1" t="s">
        <v>35</v>
      </c>
      <c r="G251" s="22" t="s">
        <v>1453</v>
      </c>
      <c r="H251" s="1" t="s">
        <v>1454</v>
      </c>
      <c r="I251" s="34" t="e">
        <f>HYPERLINK(DiscoveryTable5[[#This Row],[Case Number]],COUNTIF(#REF!,DiscoveryTable5[[#This Row],[Case Number]]))</f>
        <v>#REF!</v>
      </c>
      <c r="J251" s="28" t="s">
        <v>1455</v>
      </c>
    </row>
    <row r="252" spans="1:10" ht="15.75" hidden="1" x14ac:dyDescent="0.25">
      <c r="A252" s="27" t="s">
        <v>1456</v>
      </c>
      <c r="B252" s="1" t="s">
        <v>1457</v>
      </c>
      <c r="C252" s="1" t="s">
        <v>1458</v>
      </c>
      <c r="D252" s="1" t="s">
        <v>457</v>
      </c>
      <c r="E252" s="1" t="s">
        <v>34</v>
      </c>
      <c r="F252" s="1" t="s">
        <v>35</v>
      </c>
      <c r="G252" s="22" t="s">
        <v>1459</v>
      </c>
      <c r="H252" s="1" t="s">
        <v>1460</v>
      </c>
      <c r="I252" s="34" t="e">
        <f>HYPERLINK(DiscoveryTable5[[#This Row],[Case Number]],COUNTIF(#REF!,DiscoveryTable5[[#This Row],[Case Number]]))</f>
        <v>#REF!</v>
      </c>
      <c r="J252" s="28" t="s">
        <v>1461</v>
      </c>
    </row>
    <row r="253" spans="1:10" ht="236.25" x14ac:dyDescent="0.25">
      <c r="A253" s="27" t="s">
        <v>1462</v>
      </c>
      <c r="B253" s="1" t="s">
        <v>1463</v>
      </c>
      <c r="C253" s="1" t="s">
        <v>1464</v>
      </c>
      <c r="D253" s="1" t="s">
        <v>457</v>
      </c>
      <c r="E253" s="1" t="s">
        <v>25</v>
      </c>
      <c r="F253" s="1" t="s">
        <v>26</v>
      </c>
      <c r="G253" s="22" t="s">
        <v>1465</v>
      </c>
      <c r="H253" s="1" t="s">
        <v>1466</v>
      </c>
      <c r="I253" s="34" t="e">
        <f>HYPERLINK(DiscoveryTable5[[#This Row],[Case Number]],COUNTIF(#REF!,DiscoveryTable5[[#This Row],[Case Number]]))</f>
        <v>#REF!</v>
      </c>
      <c r="J253" s="28" t="s">
        <v>1467</v>
      </c>
    </row>
    <row r="254" spans="1:10" ht="31.5" x14ac:dyDescent="0.25">
      <c r="A254" s="27" t="s">
        <v>1468</v>
      </c>
      <c r="B254" s="1" t="s">
        <v>1469</v>
      </c>
      <c r="C254" s="1" t="s">
        <v>23</v>
      </c>
      <c r="D254" s="1" t="s">
        <v>457</v>
      </c>
      <c r="E254" s="1" t="s">
        <v>25</v>
      </c>
      <c r="F254" s="1" t="s">
        <v>26</v>
      </c>
      <c r="G254" s="22" t="s">
        <v>1470</v>
      </c>
      <c r="H254" s="1" t="s">
        <v>1471</v>
      </c>
      <c r="I254" s="34" t="e">
        <f>HYPERLINK(DiscoveryTable5[[#This Row],[Case Number]],COUNTIF(#REF!,DiscoveryTable5[[#This Row],[Case Number]]))</f>
        <v>#REF!</v>
      </c>
      <c r="J254" s="28" t="s">
        <v>1472</v>
      </c>
    </row>
    <row r="255" spans="1:10" ht="31.5" x14ac:dyDescent="0.25">
      <c r="A255" s="27" t="s">
        <v>462</v>
      </c>
      <c r="B255" s="1" t="s">
        <v>463</v>
      </c>
      <c r="C255" s="1" t="s">
        <v>23</v>
      </c>
      <c r="D255" s="1" t="s">
        <v>457</v>
      </c>
      <c r="E255" s="1" t="s">
        <v>25</v>
      </c>
      <c r="F255" s="1" t="s">
        <v>464</v>
      </c>
      <c r="G255" s="22" t="s">
        <v>465</v>
      </c>
      <c r="H255" s="1" t="s">
        <v>466</v>
      </c>
      <c r="I255" s="34" t="e">
        <f>HYPERLINK(DiscoveryTable5[[#This Row],[Case Number]],COUNTIF(#REF!,DiscoveryTable5[[#This Row],[Case Number]]))</f>
        <v>#REF!</v>
      </c>
      <c r="J255" s="28" t="s">
        <v>467</v>
      </c>
    </row>
    <row r="256" spans="1:10" ht="220.5" hidden="1" x14ac:dyDescent="0.25">
      <c r="A256" s="27" t="s">
        <v>1473</v>
      </c>
      <c r="B256" s="1" t="s">
        <v>1474</v>
      </c>
      <c r="C256" s="1" t="s">
        <v>23</v>
      </c>
      <c r="D256" s="1" t="s">
        <v>457</v>
      </c>
      <c r="E256" s="1" t="s">
        <v>25</v>
      </c>
      <c r="F256" s="1" t="s">
        <v>26</v>
      </c>
      <c r="G256" s="22" t="s">
        <v>1475</v>
      </c>
      <c r="H256" s="1" t="s">
        <v>1476</v>
      </c>
      <c r="I256" s="34" t="e">
        <f>HYPERLINK(DiscoveryTable5[[#This Row],[Case Number]],COUNTIF(#REF!,DiscoveryTable5[[#This Row],[Case Number]]))</f>
        <v>#REF!</v>
      </c>
      <c r="J256" s="28" t="s">
        <v>1477</v>
      </c>
    </row>
    <row r="257" spans="1:10" ht="31.5" x14ac:dyDescent="0.25">
      <c r="A257" s="27" t="s">
        <v>455</v>
      </c>
      <c r="B257" s="1" t="s">
        <v>456</v>
      </c>
      <c r="C257" s="1" t="s">
        <v>23</v>
      </c>
      <c r="D257" s="1" t="s">
        <v>457</v>
      </c>
      <c r="E257" s="1" t="s">
        <v>25</v>
      </c>
      <c r="F257" s="1" t="s">
        <v>458</v>
      </c>
      <c r="G257" s="22" t="s">
        <v>459</v>
      </c>
      <c r="H257" s="1" t="s">
        <v>460</v>
      </c>
      <c r="I257" s="34" t="e">
        <f>HYPERLINK(DiscoveryTable5[[#This Row],[Case Number]],COUNTIF(#REF!,DiscoveryTable5[[#This Row],[Case Number]]))</f>
        <v>#REF!</v>
      </c>
      <c r="J257" s="28" t="s">
        <v>461</v>
      </c>
    </row>
    <row r="258" spans="1:10" ht="220.5" x14ac:dyDescent="0.25">
      <c r="A258" s="27" t="s">
        <v>1478</v>
      </c>
      <c r="B258" s="1" t="s">
        <v>1479</v>
      </c>
      <c r="C258" s="1" t="s">
        <v>23</v>
      </c>
      <c r="D258" s="1" t="s">
        <v>457</v>
      </c>
      <c r="E258" s="1" t="s">
        <v>25</v>
      </c>
      <c r="F258" s="1" t="s">
        <v>26</v>
      </c>
      <c r="G258" s="22" t="s">
        <v>1480</v>
      </c>
      <c r="H258" s="1" t="s">
        <v>1481</v>
      </c>
      <c r="I258" s="34" t="e">
        <f>HYPERLINK(DiscoveryTable5[[#This Row],[Case Number]],COUNTIF(#REF!,DiscoveryTable5[[#This Row],[Case Number]]))</f>
        <v>#REF!</v>
      </c>
      <c r="J258" s="28" t="s">
        <v>1482</v>
      </c>
    </row>
    <row r="259" spans="1:10" ht="94.5" x14ac:dyDescent="0.25">
      <c r="A259" s="27" t="s">
        <v>1658</v>
      </c>
      <c r="B259" s="1" t="s">
        <v>1659</v>
      </c>
      <c r="C259" s="1" t="s">
        <v>23</v>
      </c>
      <c r="D259" s="1" t="s">
        <v>457</v>
      </c>
      <c r="E259" s="1" t="s">
        <v>25</v>
      </c>
      <c r="F259" s="1" t="s">
        <v>1660</v>
      </c>
      <c r="G259" s="22" t="s">
        <v>1661</v>
      </c>
      <c r="H259" s="1" t="s">
        <v>1662</v>
      </c>
      <c r="I259" s="34" t="e">
        <f>HYPERLINK(DiscoveryTable5[[#This Row],[Case Number]],COUNTIF(#REF!,DiscoveryTable5[[#This Row],[Case Number]]))</f>
        <v>#REF!</v>
      </c>
      <c r="J259" s="28" t="s">
        <v>1663</v>
      </c>
    </row>
    <row r="260" spans="1:10" ht="236.25" x14ac:dyDescent="0.25">
      <c r="A260" s="27" t="s">
        <v>524</v>
      </c>
      <c r="B260" s="1" t="s">
        <v>525</v>
      </c>
      <c r="C260" s="1" t="s">
        <v>23</v>
      </c>
      <c r="D260" s="1" t="s">
        <v>506</v>
      </c>
      <c r="E260" s="1" t="s">
        <v>25</v>
      </c>
      <c r="F260" s="1" t="s">
        <v>414</v>
      </c>
      <c r="G260" s="22" t="s">
        <v>526</v>
      </c>
      <c r="H260" s="1" t="s">
        <v>527</v>
      </c>
      <c r="I260" s="34" t="e">
        <f>HYPERLINK(DiscoveryTable5[[#This Row],[Case Number]],COUNTIF(#REF!,DiscoveryTable5[[#This Row],[Case Number]]))</f>
        <v>#REF!</v>
      </c>
      <c r="J260" s="28" t="s">
        <v>528</v>
      </c>
    </row>
    <row r="261" spans="1:10" ht="63" hidden="1" x14ac:dyDescent="0.25">
      <c r="A261" s="27" t="s">
        <v>1483</v>
      </c>
      <c r="B261" s="1" t="s">
        <v>1484</v>
      </c>
      <c r="C261" s="1" t="s">
        <v>23</v>
      </c>
      <c r="D261" s="1" t="s">
        <v>506</v>
      </c>
      <c r="E261" s="1" t="s">
        <v>25</v>
      </c>
      <c r="F261" s="1" t="s">
        <v>26</v>
      </c>
      <c r="G261" s="22" t="s">
        <v>1485</v>
      </c>
      <c r="H261" s="1" t="s">
        <v>1486</v>
      </c>
      <c r="I261" s="34" t="e">
        <f>HYPERLINK(DiscoveryTable5[[#This Row],[Case Number]],COUNTIF(#REF!,DiscoveryTable5[[#This Row],[Case Number]]))</f>
        <v>#REF!</v>
      </c>
      <c r="J261" s="28" t="s">
        <v>1487</v>
      </c>
    </row>
    <row r="262" spans="1:10" ht="204.75" x14ac:dyDescent="0.25">
      <c r="A262" s="27" t="s">
        <v>1488</v>
      </c>
      <c r="B262" s="1" t="s">
        <v>1489</v>
      </c>
      <c r="C262" s="1" t="s">
        <v>1490</v>
      </c>
      <c r="D262" s="1" t="s">
        <v>506</v>
      </c>
      <c r="E262" s="1" t="s">
        <v>34</v>
      </c>
      <c r="F262" s="1" t="s">
        <v>35</v>
      </c>
      <c r="G262" s="22" t="s">
        <v>1491</v>
      </c>
      <c r="H262" s="1" t="s">
        <v>1492</v>
      </c>
      <c r="I262" s="34" t="e">
        <f>HYPERLINK(DiscoveryTable5[[#This Row],[Case Number]],COUNTIF(#REF!,DiscoveryTable5[[#This Row],[Case Number]]))</f>
        <v>#REF!</v>
      </c>
      <c r="J262" s="28" t="s">
        <v>1493</v>
      </c>
    </row>
    <row r="263" spans="1:10" ht="15.75" x14ac:dyDescent="0.25">
      <c r="A263" s="27" t="s">
        <v>1494</v>
      </c>
      <c r="B263" s="1" t="s">
        <v>1495</v>
      </c>
      <c r="C263" s="1" t="s">
        <v>23</v>
      </c>
      <c r="D263" s="1" t="s">
        <v>506</v>
      </c>
      <c r="E263" s="1" t="s">
        <v>25</v>
      </c>
      <c r="F263" s="1" t="s">
        <v>26</v>
      </c>
      <c r="G263" s="22" t="s">
        <v>1373</v>
      </c>
      <c r="H263" s="1" t="s">
        <v>1496</v>
      </c>
      <c r="I263" s="34" t="e">
        <f>HYPERLINK(DiscoveryTable5[[#This Row],[Case Number]],COUNTIF(#REF!,DiscoveryTable5[[#This Row],[Case Number]]))</f>
        <v>#REF!</v>
      </c>
      <c r="J263" s="28" t="s">
        <v>1497</v>
      </c>
    </row>
    <row r="264" spans="1:10" ht="15.75" x14ac:dyDescent="0.25">
      <c r="A264" s="27" t="s">
        <v>1498</v>
      </c>
      <c r="B264" s="1" t="s">
        <v>1499</v>
      </c>
      <c r="C264" s="1" t="s">
        <v>23</v>
      </c>
      <c r="D264" s="1" t="s">
        <v>506</v>
      </c>
      <c r="E264" s="1" t="s">
        <v>25</v>
      </c>
      <c r="F264" s="1" t="s">
        <v>26</v>
      </c>
      <c r="G264" s="22" t="s">
        <v>1500</v>
      </c>
      <c r="H264" s="1" t="s">
        <v>1501</v>
      </c>
      <c r="I264" s="34" t="e">
        <f>HYPERLINK(DiscoveryTable5[[#This Row],[Case Number]],COUNTIF(#REF!,DiscoveryTable5[[#This Row],[Case Number]]))</f>
        <v>#REF!</v>
      </c>
      <c r="J264" s="28" t="s">
        <v>1502</v>
      </c>
    </row>
    <row r="265" spans="1:10" ht="15.75" x14ac:dyDescent="0.25">
      <c r="A265" s="27" t="s">
        <v>1503</v>
      </c>
      <c r="B265" s="1" t="s">
        <v>1504</v>
      </c>
      <c r="C265" s="1" t="s">
        <v>1505</v>
      </c>
      <c r="D265" s="1" t="s">
        <v>506</v>
      </c>
      <c r="E265" s="1" t="s">
        <v>25</v>
      </c>
      <c r="F265" s="1" t="s">
        <v>26</v>
      </c>
      <c r="G265" s="22" t="s">
        <v>1506</v>
      </c>
      <c r="H265" s="1" t="s">
        <v>1507</v>
      </c>
      <c r="I265" s="34" t="e">
        <f>HYPERLINK(DiscoveryTable5[[#This Row],[Case Number]],COUNTIF(#REF!,DiscoveryTable5[[#This Row],[Case Number]]))</f>
        <v>#REF!</v>
      </c>
      <c r="J265" s="28" t="s">
        <v>1508</v>
      </c>
    </row>
    <row r="266" spans="1:10" ht="15.75" x14ac:dyDescent="0.25">
      <c r="A266" s="27" t="s">
        <v>1509</v>
      </c>
      <c r="B266" s="1" t="s">
        <v>1510</v>
      </c>
      <c r="C266" s="1" t="s">
        <v>1511</v>
      </c>
      <c r="D266" s="1" t="s">
        <v>506</v>
      </c>
      <c r="E266" s="1" t="s">
        <v>25</v>
      </c>
      <c r="F266" s="1" t="s">
        <v>26</v>
      </c>
      <c r="G266" s="22" t="s">
        <v>1512</v>
      </c>
      <c r="H266" s="1" t="s">
        <v>1513</v>
      </c>
      <c r="I266" s="34" t="e">
        <f>HYPERLINK(DiscoveryTable5[[#This Row],[Case Number]],COUNTIF(#REF!,DiscoveryTable5[[#This Row],[Case Number]]))</f>
        <v>#REF!</v>
      </c>
      <c r="J266" s="28" t="s">
        <v>1514</v>
      </c>
    </row>
    <row r="267" spans="1:10" ht="15.75" x14ac:dyDescent="0.25">
      <c r="A267" s="27" t="s">
        <v>1515</v>
      </c>
      <c r="B267" s="1" t="s">
        <v>1516</v>
      </c>
      <c r="C267" s="1" t="s">
        <v>1517</v>
      </c>
      <c r="D267" s="1" t="s">
        <v>506</v>
      </c>
      <c r="E267" s="1" t="s">
        <v>25</v>
      </c>
      <c r="F267" s="1" t="s">
        <v>26</v>
      </c>
      <c r="G267" s="22" t="s">
        <v>1518</v>
      </c>
      <c r="H267" s="1" t="s">
        <v>1519</v>
      </c>
      <c r="I267" s="34" t="e">
        <f>HYPERLINK(DiscoveryTable5[[#This Row],[Case Number]],COUNTIF(#REF!,DiscoveryTable5[[#This Row],[Case Number]]))</f>
        <v>#REF!</v>
      </c>
      <c r="J267" s="28" t="s">
        <v>1520</v>
      </c>
    </row>
    <row r="268" spans="1:10" ht="110.25" x14ac:dyDescent="0.25">
      <c r="A268" s="27" t="s">
        <v>503</v>
      </c>
      <c r="B268" s="1" t="s">
        <v>504</v>
      </c>
      <c r="C268" s="1" t="s">
        <v>505</v>
      </c>
      <c r="D268" s="1" t="s">
        <v>506</v>
      </c>
      <c r="E268" s="1" t="s">
        <v>25</v>
      </c>
      <c r="F268" s="1" t="s">
        <v>507</v>
      </c>
      <c r="G268" s="22" t="s">
        <v>508</v>
      </c>
      <c r="H268" s="1" t="s">
        <v>509</v>
      </c>
      <c r="I268" s="34" t="e">
        <f>HYPERLINK(DiscoveryTable5[[#This Row],[Case Number]],COUNTIF(#REF!,DiscoveryTable5[[#This Row],[Case Number]]))</f>
        <v>#REF!</v>
      </c>
      <c r="J268" s="28" t="s">
        <v>510</v>
      </c>
    </row>
    <row r="269" spans="1:10" ht="315" hidden="1" x14ac:dyDescent="0.25">
      <c r="A269" s="27" t="s">
        <v>529</v>
      </c>
      <c r="B269" s="1" t="s">
        <v>530</v>
      </c>
      <c r="C269" s="1" t="s">
        <v>531</v>
      </c>
      <c r="D269" s="1" t="s">
        <v>532</v>
      </c>
      <c r="E269" s="1" t="s">
        <v>25</v>
      </c>
      <c r="F269" s="1" t="s">
        <v>533</v>
      </c>
      <c r="G269" s="22" t="s">
        <v>534</v>
      </c>
      <c r="H269" s="1" t="s">
        <v>535</v>
      </c>
      <c r="I269" s="34" t="e">
        <f>HYPERLINK(DiscoveryTable5[[#This Row],[Case Number]],COUNTIF(#REF!,DiscoveryTable5[[#This Row],[Case Number]]))</f>
        <v>#REF!</v>
      </c>
      <c r="J269" s="28" t="s">
        <v>536</v>
      </c>
    </row>
    <row r="270" spans="1:10" ht="204.75" x14ac:dyDescent="0.25">
      <c r="A270" s="27" t="s">
        <v>1521</v>
      </c>
      <c r="B270" s="1" t="s">
        <v>1522</v>
      </c>
      <c r="C270" s="1" t="s">
        <v>23</v>
      </c>
      <c r="D270" s="1" t="s">
        <v>532</v>
      </c>
      <c r="E270" s="1" t="s">
        <v>25</v>
      </c>
      <c r="F270" s="1" t="s">
        <v>26</v>
      </c>
      <c r="G270" s="22" t="s">
        <v>1523</v>
      </c>
      <c r="H270" s="1" t="s">
        <v>1524</v>
      </c>
      <c r="I270" s="34" t="e">
        <f>HYPERLINK(DiscoveryTable5[[#This Row],[Case Number]],COUNTIF(#REF!,DiscoveryTable5[[#This Row],[Case Number]]))</f>
        <v>#REF!</v>
      </c>
      <c r="J270" s="28" t="s">
        <v>1525</v>
      </c>
    </row>
    <row r="271" spans="1:10" ht="409.5" x14ac:dyDescent="0.25">
      <c r="A271" s="27" t="s">
        <v>468</v>
      </c>
      <c r="B271" s="1" t="s">
        <v>469</v>
      </c>
      <c r="C271" s="1" t="s">
        <v>23</v>
      </c>
      <c r="D271" s="1" t="s">
        <v>470</v>
      </c>
      <c r="E271" s="1" t="s">
        <v>25</v>
      </c>
      <c r="F271" s="1" t="s">
        <v>471</v>
      </c>
      <c r="G271" s="22" t="s">
        <v>472</v>
      </c>
      <c r="H271" s="1" t="s">
        <v>473</v>
      </c>
      <c r="I271" s="34" t="e">
        <f>HYPERLINK(DiscoveryTable5[[#This Row],[Case Number]],COUNTIF(#REF!,DiscoveryTable5[[#This Row],[Case Number]]))</f>
        <v>#REF!</v>
      </c>
      <c r="J271" s="28" t="s">
        <v>474</v>
      </c>
    </row>
    <row r="272" spans="1:10" ht="94.5" hidden="1" x14ac:dyDescent="0.25">
      <c r="A272" s="27" t="s">
        <v>1526</v>
      </c>
      <c r="B272" s="1" t="s">
        <v>1527</v>
      </c>
      <c r="C272" s="1" t="s">
        <v>23</v>
      </c>
      <c r="D272" s="1" t="s">
        <v>1528</v>
      </c>
      <c r="E272" s="1" t="s">
        <v>25</v>
      </c>
      <c r="F272" s="1" t="s">
        <v>26</v>
      </c>
      <c r="G272" s="22" t="s">
        <v>1529</v>
      </c>
      <c r="H272" s="1" t="s">
        <v>1530</v>
      </c>
      <c r="I272" s="34" t="e">
        <f>HYPERLINK(DiscoveryTable5[[#This Row],[Case Number]],COUNTIF(#REF!,DiscoveryTable5[[#This Row],[Case Number]]))</f>
        <v>#REF!</v>
      </c>
      <c r="J272" s="28" t="s">
        <v>1531</v>
      </c>
    </row>
    <row r="273" spans="1:10" ht="126" x14ac:dyDescent="0.25">
      <c r="A273" s="27" t="s">
        <v>1532</v>
      </c>
      <c r="B273" s="1" t="s">
        <v>1533</v>
      </c>
      <c r="C273" s="1" t="s">
        <v>23</v>
      </c>
      <c r="D273" s="1" t="s">
        <v>450</v>
      </c>
      <c r="E273" s="1" t="s">
        <v>25</v>
      </c>
      <c r="F273" s="1" t="s">
        <v>26</v>
      </c>
      <c r="G273" s="22" t="s">
        <v>1534</v>
      </c>
      <c r="H273" s="1" t="s">
        <v>1535</v>
      </c>
      <c r="I273" s="34" t="e">
        <f>HYPERLINK(DiscoveryTable5[[#This Row],[Case Number]],COUNTIF(#REF!,DiscoveryTable5[[#This Row],[Case Number]]))</f>
        <v>#REF!</v>
      </c>
      <c r="J273" s="28" t="s">
        <v>1536</v>
      </c>
    </row>
    <row r="274" spans="1:10" ht="110.25" hidden="1" x14ac:dyDescent="0.25">
      <c r="A274" s="27" t="s">
        <v>448</v>
      </c>
      <c r="B274" s="1" t="s">
        <v>449</v>
      </c>
      <c r="C274" s="1" t="s">
        <v>23</v>
      </c>
      <c r="D274" s="1" t="s">
        <v>450</v>
      </c>
      <c r="E274" s="1" t="s">
        <v>25</v>
      </c>
      <c r="F274" s="1" t="s">
        <v>451</v>
      </c>
      <c r="G274" s="22" t="s">
        <v>452</v>
      </c>
      <c r="H274" s="1" t="s">
        <v>453</v>
      </c>
      <c r="I274" s="34" t="e">
        <f>HYPERLINK(DiscoveryTable5[[#This Row],[Case Number]],COUNTIF(#REF!,DiscoveryTable5[[#This Row],[Case Number]]))</f>
        <v>#REF!</v>
      </c>
      <c r="J274" s="28" t="s">
        <v>454</v>
      </c>
    </row>
    <row r="275" spans="1:10" ht="110.25" x14ac:dyDescent="0.25">
      <c r="A275" s="27" t="s">
        <v>1537</v>
      </c>
      <c r="B275" s="1" t="s">
        <v>1538</v>
      </c>
      <c r="C275" s="1" t="s">
        <v>1539</v>
      </c>
      <c r="D275" s="1" t="s">
        <v>450</v>
      </c>
      <c r="E275" s="1" t="s">
        <v>25</v>
      </c>
      <c r="F275" s="1" t="s">
        <v>26</v>
      </c>
      <c r="G275" s="22" t="s">
        <v>1540</v>
      </c>
      <c r="H275" s="1" t="s">
        <v>1541</v>
      </c>
      <c r="I275" s="34" t="e">
        <f>HYPERLINK(DiscoveryTable5[[#This Row],[Case Number]],COUNTIF(#REF!,DiscoveryTable5[[#This Row],[Case Number]]))</f>
        <v>#REF!</v>
      </c>
      <c r="J275" s="28" t="s">
        <v>1542</v>
      </c>
    </row>
    <row r="276" spans="1:10" ht="31.5" hidden="1" x14ac:dyDescent="0.25">
      <c r="A276" s="27" t="s">
        <v>1664</v>
      </c>
      <c r="B276" s="1" t="s">
        <v>1665</v>
      </c>
      <c r="C276" s="1" t="s">
        <v>23</v>
      </c>
      <c r="D276" s="1" t="s">
        <v>1545</v>
      </c>
      <c r="E276" s="1" t="s">
        <v>25</v>
      </c>
      <c r="F276" s="1" t="s">
        <v>1381</v>
      </c>
      <c r="G276" s="22" t="s">
        <v>1666</v>
      </c>
      <c r="H276" s="1" t="s">
        <v>1667</v>
      </c>
      <c r="I276" s="34" t="e">
        <f>HYPERLINK(DiscoveryTable5[[#This Row],[Case Number]],COUNTIF(#REF!,DiscoveryTable5[[#This Row],[Case Number]]))</f>
        <v>#REF!</v>
      </c>
      <c r="J276" s="28" t="s">
        <v>1668</v>
      </c>
    </row>
    <row r="277" spans="1:10" ht="15.75" x14ac:dyDescent="0.25">
      <c r="A277" s="27" t="s">
        <v>1543</v>
      </c>
      <c r="B277" s="1" t="s">
        <v>1544</v>
      </c>
      <c r="C277" s="1" t="s">
        <v>23</v>
      </c>
      <c r="D277" s="1" t="s">
        <v>1545</v>
      </c>
      <c r="E277" s="1" t="s">
        <v>25</v>
      </c>
      <c r="F277" s="1" t="s">
        <v>26</v>
      </c>
      <c r="G277" s="22" t="s">
        <v>1546</v>
      </c>
      <c r="H277" s="1" t="s">
        <v>1547</v>
      </c>
      <c r="I277" s="34" t="e">
        <f>HYPERLINK(DiscoveryTable5[[#This Row],[Case Number]],COUNTIF(#REF!,DiscoveryTable5[[#This Row],[Case Number]]))</f>
        <v>#REF!</v>
      </c>
      <c r="J277" s="28" t="s">
        <v>1548</v>
      </c>
    </row>
    <row r="278" spans="1:10" ht="15.75" x14ac:dyDescent="0.25">
      <c r="A278" s="27" t="s">
        <v>1549</v>
      </c>
      <c r="B278" s="1" t="s">
        <v>1550</v>
      </c>
      <c r="C278" s="1" t="s">
        <v>1551</v>
      </c>
      <c r="D278" s="1" t="s">
        <v>1545</v>
      </c>
      <c r="E278" s="1" t="s">
        <v>25</v>
      </c>
      <c r="F278" s="1" t="s">
        <v>26</v>
      </c>
      <c r="G278" s="22" t="s">
        <v>1552</v>
      </c>
      <c r="H278" s="1" t="s">
        <v>1553</v>
      </c>
      <c r="I278" s="34" t="e">
        <f>HYPERLINK(DiscoveryTable5[[#This Row],[Case Number]],COUNTIF(#REF!,DiscoveryTable5[[#This Row],[Case Number]]))</f>
        <v>#REF!</v>
      </c>
      <c r="J278" s="28" t="s">
        <v>1554</v>
      </c>
    </row>
    <row r="279" spans="1:10" ht="31.5" x14ac:dyDescent="0.25">
      <c r="A279" s="27" t="s">
        <v>1555</v>
      </c>
      <c r="B279" s="1" t="s">
        <v>1556</v>
      </c>
      <c r="C279" s="1" t="s">
        <v>1557</v>
      </c>
      <c r="D279" s="1" t="s">
        <v>1545</v>
      </c>
      <c r="E279" s="1" t="s">
        <v>25</v>
      </c>
      <c r="F279" s="1" t="s">
        <v>26</v>
      </c>
      <c r="G279" s="22" t="s">
        <v>1558</v>
      </c>
      <c r="H279" s="1" t="s">
        <v>1559</v>
      </c>
      <c r="I279" s="34" t="e">
        <f>HYPERLINK(DiscoveryTable5[[#This Row],[Case Number]],COUNTIF(#REF!,DiscoveryTable5[[#This Row],[Case Number]]))</f>
        <v>#REF!</v>
      </c>
      <c r="J279" s="28" t="s">
        <v>1560</v>
      </c>
    </row>
    <row r="280" spans="1:10" ht="15.75" x14ac:dyDescent="0.25">
      <c r="A280" s="27" t="s">
        <v>1561</v>
      </c>
      <c r="B280" s="1" t="s">
        <v>1562</v>
      </c>
      <c r="C280" s="1" t="s">
        <v>23</v>
      </c>
      <c r="D280" s="1" t="s">
        <v>1545</v>
      </c>
      <c r="E280" s="1" t="s">
        <v>25</v>
      </c>
      <c r="F280" s="1" t="s">
        <v>26</v>
      </c>
      <c r="G280" s="22" t="s">
        <v>1563</v>
      </c>
      <c r="H280" s="1" t="s">
        <v>1564</v>
      </c>
      <c r="I280" s="34" t="e">
        <f>HYPERLINK(DiscoveryTable5[[#This Row],[Case Number]],COUNTIF(#REF!,DiscoveryTable5[[#This Row],[Case Number]]))</f>
        <v>#REF!</v>
      </c>
      <c r="J280" s="28" t="s">
        <v>1565</v>
      </c>
    </row>
    <row r="281" spans="1:10" ht="141.75" x14ac:dyDescent="0.25">
      <c r="A281" s="27" t="s">
        <v>1566</v>
      </c>
      <c r="B281" s="1" t="s">
        <v>1567</v>
      </c>
      <c r="C281" s="1" t="s">
        <v>23</v>
      </c>
      <c r="D281" s="1" t="s">
        <v>1568</v>
      </c>
      <c r="E281" s="1" t="s">
        <v>25</v>
      </c>
      <c r="F281" s="1" t="s">
        <v>26</v>
      </c>
      <c r="G281" s="22" t="s">
        <v>1569</v>
      </c>
      <c r="H281" s="1" t="s">
        <v>1570</v>
      </c>
      <c r="I281" s="34" t="e">
        <f>HYPERLINK(DiscoveryTable5[[#This Row],[Case Number]],COUNTIF(#REF!,DiscoveryTable5[[#This Row],[Case Number]]))</f>
        <v>#REF!</v>
      </c>
      <c r="J281" s="28" t="s">
        <v>1571</v>
      </c>
    </row>
    <row r="282" spans="1:10" ht="110.25" hidden="1" x14ac:dyDescent="0.25">
      <c r="A282" s="27" t="s">
        <v>1572</v>
      </c>
      <c r="B282" s="1" t="s">
        <v>1573</v>
      </c>
      <c r="C282" s="1" t="s">
        <v>1574</v>
      </c>
      <c r="D282" s="1" t="s">
        <v>1568</v>
      </c>
      <c r="E282" s="1" t="s">
        <v>1575</v>
      </c>
      <c r="F282" s="1" t="s">
        <v>1576</v>
      </c>
      <c r="G282" s="22" t="s">
        <v>1577</v>
      </c>
      <c r="H282" s="1" t="s">
        <v>1578</v>
      </c>
      <c r="I282" s="34" t="e">
        <f>HYPERLINK(DiscoveryTable5[[#This Row],[Case Number]],COUNTIF(#REF!,DiscoveryTable5[[#This Row],[Case Number]]))</f>
        <v>#REF!</v>
      </c>
      <c r="J282" s="28" t="s">
        <v>1579</v>
      </c>
    </row>
    <row r="283" spans="1:10" ht="94.5" x14ac:dyDescent="0.25">
      <c r="A283" s="27" t="s">
        <v>1580</v>
      </c>
      <c r="B283" s="1" t="s">
        <v>1581</v>
      </c>
      <c r="C283" s="1" t="s">
        <v>1582</v>
      </c>
      <c r="D283" s="1" t="s">
        <v>1568</v>
      </c>
      <c r="E283" s="1" t="s">
        <v>25</v>
      </c>
      <c r="F283" s="1" t="s">
        <v>26</v>
      </c>
      <c r="G283" s="22" t="s">
        <v>1583</v>
      </c>
      <c r="H283" s="1" t="s">
        <v>1584</v>
      </c>
      <c r="I283" s="34" t="e">
        <f>HYPERLINK(DiscoveryTable5[[#This Row],[Case Number]],COUNTIF(#REF!,DiscoveryTable5[[#This Row],[Case Number]]))</f>
        <v>#REF!</v>
      </c>
      <c r="J283" s="28" t="s">
        <v>1585</v>
      </c>
    </row>
    <row r="284" spans="1:10" ht="63" x14ac:dyDescent="0.25">
      <c r="A284" s="27" t="s">
        <v>1586</v>
      </c>
      <c r="B284" s="1" t="s">
        <v>1587</v>
      </c>
      <c r="C284" s="1" t="s">
        <v>23</v>
      </c>
      <c r="D284" s="1" t="s">
        <v>1588</v>
      </c>
      <c r="E284" s="1" t="s">
        <v>34</v>
      </c>
      <c r="F284" s="1" t="s">
        <v>35</v>
      </c>
      <c r="G284" s="22" t="s">
        <v>1589</v>
      </c>
      <c r="H284" s="1" t="s">
        <v>1590</v>
      </c>
      <c r="I284" s="34" t="e">
        <f>HYPERLINK(DiscoveryTable5[[#This Row],[Case Number]],COUNTIF(#REF!,DiscoveryTable5[[#This Row],[Case Number]]))</f>
        <v>#REF!</v>
      </c>
      <c r="J284" s="28" t="s">
        <v>1591</v>
      </c>
    </row>
    <row r="285" spans="1:10" ht="204.75" hidden="1" x14ac:dyDescent="0.25">
      <c r="A285" s="27" t="s">
        <v>511</v>
      </c>
      <c r="B285" s="1" t="s">
        <v>512</v>
      </c>
      <c r="C285" s="1" t="s">
        <v>23</v>
      </c>
      <c r="D285" s="1" t="s">
        <v>513</v>
      </c>
      <c r="E285" s="1" t="s">
        <v>25</v>
      </c>
      <c r="F285" s="1" t="s">
        <v>55</v>
      </c>
      <c r="G285" s="22" t="s">
        <v>514</v>
      </c>
      <c r="H285" s="1" t="s">
        <v>515</v>
      </c>
      <c r="I285" s="34" t="e">
        <f>HYPERLINK(DiscoveryTable5[[#This Row],[Case Number]],COUNTIF(#REF!,DiscoveryTable5[[#This Row],[Case Number]]))</f>
        <v>#REF!</v>
      </c>
      <c r="J285" s="28" t="s">
        <v>516</v>
      </c>
    </row>
    <row r="286" spans="1:10" ht="204.75" x14ac:dyDescent="0.25">
      <c r="A286" s="27" t="s">
        <v>1592</v>
      </c>
      <c r="B286" s="1" t="s">
        <v>1593</v>
      </c>
      <c r="C286" s="1" t="s">
        <v>1594</v>
      </c>
      <c r="D286" s="1" t="s">
        <v>1595</v>
      </c>
      <c r="E286" s="1" t="s">
        <v>25</v>
      </c>
      <c r="F286" s="1" t="s">
        <v>26</v>
      </c>
      <c r="G286" s="22" t="s">
        <v>1596</v>
      </c>
      <c r="H286" s="1" t="s">
        <v>1597</v>
      </c>
      <c r="I286" s="34" t="e">
        <f>HYPERLINK(DiscoveryTable5[[#This Row],[Case Number]],COUNTIF(#REF!,DiscoveryTable5[[#This Row],[Case Number]]))</f>
        <v>#REF!</v>
      </c>
      <c r="J286" s="28" t="s">
        <v>1598</v>
      </c>
    </row>
    <row r="287" spans="1:10" ht="63" x14ac:dyDescent="0.25">
      <c r="A287" s="27" t="s">
        <v>1599</v>
      </c>
      <c r="B287" s="1" t="s">
        <v>1600</v>
      </c>
      <c r="C287" s="1" t="s">
        <v>1601</v>
      </c>
      <c r="D287" s="1" t="s">
        <v>477</v>
      </c>
      <c r="E287" s="1" t="s">
        <v>25</v>
      </c>
      <c r="F287" s="1" t="s">
        <v>26</v>
      </c>
      <c r="G287" s="22" t="s">
        <v>1602</v>
      </c>
      <c r="H287" s="1" t="s">
        <v>1603</v>
      </c>
      <c r="I287" s="34" t="e">
        <f>HYPERLINK(DiscoveryTable5[[#This Row],[Case Number]],COUNTIF(#REF!,DiscoveryTable5[[#This Row],[Case Number]]))</f>
        <v>#REF!</v>
      </c>
      <c r="J287" s="28" t="s">
        <v>1604</v>
      </c>
    </row>
    <row r="288" spans="1:10" ht="47.25" hidden="1" x14ac:dyDescent="0.25">
      <c r="A288" s="27" t="s">
        <v>1605</v>
      </c>
      <c r="B288" s="1" t="s">
        <v>1606</v>
      </c>
      <c r="C288" s="1" t="s">
        <v>23</v>
      </c>
      <c r="D288" s="1" t="s">
        <v>477</v>
      </c>
      <c r="E288" s="1" t="s">
        <v>34</v>
      </c>
      <c r="F288" s="1" t="s">
        <v>35</v>
      </c>
      <c r="G288" s="22" t="s">
        <v>1607</v>
      </c>
      <c r="H288" s="1" t="s">
        <v>1608</v>
      </c>
      <c r="I288" s="34" t="e">
        <f>HYPERLINK(DiscoveryTable5[[#This Row],[Case Number]],COUNTIF(#REF!,DiscoveryTable5[[#This Row],[Case Number]]))</f>
        <v>#REF!</v>
      </c>
      <c r="J288" s="28" t="s">
        <v>1609</v>
      </c>
    </row>
    <row r="289" spans="1:10" ht="110.25" hidden="1" x14ac:dyDescent="0.25">
      <c r="A289" s="27" t="s">
        <v>1610</v>
      </c>
      <c r="B289" s="1" t="s">
        <v>1611</v>
      </c>
      <c r="C289" s="1" t="s">
        <v>1612</v>
      </c>
      <c r="D289" s="1" t="s">
        <v>477</v>
      </c>
      <c r="E289" s="1" t="s">
        <v>25</v>
      </c>
      <c r="F289" s="1" t="s">
        <v>26</v>
      </c>
      <c r="G289" s="22" t="s">
        <v>1613</v>
      </c>
      <c r="H289" s="1" t="s">
        <v>1614</v>
      </c>
      <c r="I289" s="34" t="e">
        <f>HYPERLINK(DiscoveryTable5[[#This Row],[Case Number]],COUNTIF(#REF!,DiscoveryTable5[[#This Row],[Case Number]]))</f>
        <v>#REF!</v>
      </c>
      <c r="J289" s="28" t="s">
        <v>1615</v>
      </c>
    </row>
    <row r="290" spans="1:10" ht="63" x14ac:dyDescent="0.25">
      <c r="A290" s="27" t="s">
        <v>475</v>
      </c>
      <c r="B290" s="1" t="s">
        <v>476</v>
      </c>
      <c r="C290" s="1" t="s">
        <v>23</v>
      </c>
      <c r="D290" s="1" t="s">
        <v>477</v>
      </c>
      <c r="E290" s="1" t="s">
        <v>25</v>
      </c>
      <c r="F290" s="1" t="s">
        <v>478</v>
      </c>
      <c r="G290" s="22" t="s">
        <v>479</v>
      </c>
      <c r="H290" s="1" t="s">
        <v>480</v>
      </c>
      <c r="I290" s="34" t="e">
        <f>HYPERLINK(DiscoveryTable5[[#This Row],[Case Number]],COUNTIF(#REF!,DiscoveryTable5[[#This Row],[Case Number]]))</f>
        <v>#REF!</v>
      </c>
      <c r="J290" s="28" t="s">
        <v>481</v>
      </c>
    </row>
    <row r="291" spans="1:10" ht="110.25" x14ac:dyDescent="0.25">
      <c r="A291" s="27" t="s">
        <v>1616</v>
      </c>
      <c r="B291" s="1" t="s">
        <v>1617</v>
      </c>
      <c r="C291" s="1" t="s">
        <v>23</v>
      </c>
      <c r="D291" s="1" t="s">
        <v>491</v>
      </c>
      <c r="E291" s="1" t="s">
        <v>34</v>
      </c>
      <c r="F291" s="1" t="s">
        <v>35</v>
      </c>
      <c r="G291" s="22" t="s">
        <v>1618</v>
      </c>
      <c r="H291" s="1" t="s">
        <v>1619</v>
      </c>
      <c r="I291" s="34" t="e">
        <f>HYPERLINK(DiscoveryTable5[[#This Row],[Case Number]],COUNTIF(#REF!,DiscoveryTable5[[#This Row],[Case Number]]))</f>
        <v>#REF!</v>
      </c>
      <c r="J291" s="28" t="s">
        <v>1620</v>
      </c>
    </row>
    <row r="292" spans="1:10" ht="204.75" x14ac:dyDescent="0.25">
      <c r="A292" s="27" t="s">
        <v>1621</v>
      </c>
      <c r="B292" s="1" t="s">
        <v>1622</v>
      </c>
      <c r="C292" s="1" t="s">
        <v>23</v>
      </c>
      <c r="D292" s="1" t="s">
        <v>491</v>
      </c>
      <c r="E292" s="1" t="s">
        <v>25</v>
      </c>
      <c r="F292" s="1" t="s">
        <v>26</v>
      </c>
      <c r="G292" s="22" t="s">
        <v>1623</v>
      </c>
      <c r="H292" s="1" t="s">
        <v>1624</v>
      </c>
      <c r="I292" s="34" t="e">
        <f>HYPERLINK(DiscoveryTable5[[#This Row],[Case Number]],COUNTIF(#REF!,DiscoveryTable5[[#This Row],[Case Number]]))</f>
        <v>#REF!</v>
      </c>
      <c r="J292" s="28" t="s">
        <v>1625</v>
      </c>
    </row>
    <row r="293" spans="1:10" ht="94.5" x14ac:dyDescent="0.25">
      <c r="A293" s="27" t="s">
        <v>489</v>
      </c>
      <c r="B293" s="1" t="s">
        <v>490</v>
      </c>
      <c r="C293" s="1" t="s">
        <v>23</v>
      </c>
      <c r="D293" s="1" t="s">
        <v>491</v>
      </c>
      <c r="E293" s="1" t="s">
        <v>25</v>
      </c>
      <c r="F293" s="1" t="s">
        <v>55</v>
      </c>
      <c r="G293" s="22" t="s">
        <v>492</v>
      </c>
      <c r="H293" s="1" t="s">
        <v>493</v>
      </c>
      <c r="I293" s="34" t="e">
        <f>HYPERLINK(DiscoveryTable5[[#This Row],[Case Number]],COUNTIF(#REF!,DiscoveryTable5[[#This Row],[Case Number]]))</f>
        <v>#REF!</v>
      </c>
      <c r="J293" s="28" t="s">
        <v>494</v>
      </c>
    </row>
    <row r="294" spans="1:10" ht="283.5" hidden="1" x14ac:dyDescent="0.25">
      <c r="A294" s="27" t="s">
        <v>495</v>
      </c>
      <c r="B294" s="1" t="s">
        <v>496</v>
      </c>
      <c r="C294" s="1" t="s">
        <v>497</v>
      </c>
      <c r="D294" s="1" t="s">
        <v>498</v>
      </c>
      <c r="E294" s="1" t="s">
        <v>25</v>
      </c>
      <c r="F294" s="1" t="s">
        <v>499</v>
      </c>
      <c r="G294" s="22" t="s">
        <v>500</v>
      </c>
      <c r="H294" s="1" t="s">
        <v>501</v>
      </c>
      <c r="I294" s="34" t="e">
        <f>HYPERLINK(DiscoveryTable5[[#This Row],[Case Number]],COUNTIF(#REF!,DiscoveryTable5[[#This Row],[Case Number]]))</f>
        <v>#REF!</v>
      </c>
      <c r="J294" s="28" t="s">
        <v>502</v>
      </c>
    </row>
    <row r="295" spans="1:10" ht="126" x14ac:dyDescent="0.25">
      <c r="A295" s="27" t="s">
        <v>1626</v>
      </c>
      <c r="B295" s="1" t="s">
        <v>1627</v>
      </c>
      <c r="C295" s="1" t="s">
        <v>23</v>
      </c>
      <c r="D295" s="1" t="s">
        <v>498</v>
      </c>
      <c r="E295" s="1" t="s">
        <v>25</v>
      </c>
      <c r="F295" s="1" t="s">
        <v>26</v>
      </c>
      <c r="G295" s="22" t="s">
        <v>1628</v>
      </c>
      <c r="H295" s="1" t="s">
        <v>1629</v>
      </c>
      <c r="I295" s="34" t="e">
        <f>HYPERLINK(DiscoveryTable5[[#This Row],[Case Number]],COUNTIF(#REF!,DiscoveryTable5[[#This Row],[Case Number]]))</f>
        <v>#REF!</v>
      </c>
      <c r="J295" s="28" t="s">
        <v>1630</v>
      </c>
    </row>
    <row r="296" spans="1:10" ht="15.75" x14ac:dyDescent="0.25">
      <c r="A296" s="27" t="s">
        <v>1631</v>
      </c>
      <c r="B296" s="1" t="s">
        <v>1632</v>
      </c>
      <c r="C296" s="1" t="s">
        <v>1633</v>
      </c>
      <c r="D296" s="1" t="s">
        <v>1634</v>
      </c>
      <c r="E296" s="1" t="s">
        <v>25</v>
      </c>
      <c r="F296" s="1" t="s">
        <v>26</v>
      </c>
      <c r="G296" s="22" t="s">
        <v>1635</v>
      </c>
      <c r="H296" s="1" t="s">
        <v>1636</v>
      </c>
      <c r="I296" s="34" t="e">
        <f>HYPERLINK(DiscoveryTable5[[#This Row],[Case Number]],COUNTIF(#REF!,DiscoveryTable5[[#This Row],[Case Number]]))</f>
        <v>#REF!</v>
      </c>
      <c r="J296" s="28" t="s">
        <v>1637</v>
      </c>
    </row>
    <row r="297" spans="1:10" ht="204.75" x14ac:dyDescent="0.25">
      <c r="A297" s="27" t="s">
        <v>1638</v>
      </c>
      <c r="B297" s="1" t="s">
        <v>1639</v>
      </c>
      <c r="C297" s="1" t="s">
        <v>23</v>
      </c>
      <c r="D297" s="1" t="s">
        <v>1640</v>
      </c>
      <c r="E297" s="1" t="s">
        <v>25</v>
      </c>
      <c r="F297" s="1" t="s">
        <v>26</v>
      </c>
      <c r="G297" s="22" t="s">
        <v>1641</v>
      </c>
      <c r="H297" s="1" t="s">
        <v>1642</v>
      </c>
      <c r="I297" s="34" t="e">
        <f>HYPERLINK(DiscoveryTable5[[#This Row],[Case Number]],COUNTIF(#REF!,DiscoveryTable5[[#This Row],[Case Number]]))</f>
        <v>#REF!</v>
      </c>
      <c r="J297" s="28" t="s">
        <v>1643</v>
      </c>
    </row>
    <row r="298" spans="1:10" ht="94.5" hidden="1" x14ac:dyDescent="0.25">
      <c r="A298" s="27" t="s">
        <v>1669</v>
      </c>
      <c r="B298" s="1" t="s">
        <v>1670</v>
      </c>
      <c r="C298" s="1" t="s">
        <v>1671</v>
      </c>
      <c r="D298" s="1" t="s">
        <v>1640</v>
      </c>
      <c r="E298" s="1" t="s">
        <v>25</v>
      </c>
      <c r="F298" s="1" t="s">
        <v>26</v>
      </c>
      <c r="G298" s="22" t="s">
        <v>1672</v>
      </c>
      <c r="H298" s="1" t="s">
        <v>1673</v>
      </c>
      <c r="I298" s="34" t="e">
        <f>HYPERLINK(DiscoveryTable5[[#This Row],[Case Number]],COUNTIF(#REF!,DiscoveryTable5[[#This Row],[Case Number]]))</f>
        <v>#REF!</v>
      </c>
      <c r="J298" s="28" t="s">
        <v>1674</v>
      </c>
    </row>
    <row r="299" spans="1:10" ht="252" x14ac:dyDescent="0.25">
      <c r="A299" s="27" t="s">
        <v>551</v>
      </c>
      <c r="B299" s="1" t="s">
        <v>552</v>
      </c>
      <c r="C299" s="1" t="s">
        <v>23</v>
      </c>
      <c r="D299" s="1" t="s">
        <v>553</v>
      </c>
      <c r="E299" s="1" t="s">
        <v>25</v>
      </c>
      <c r="F299" s="1" t="s">
        <v>55</v>
      </c>
      <c r="G299" s="22" t="s">
        <v>554</v>
      </c>
      <c r="H299" s="1" t="s">
        <v>555</v>
      </c>
      <c r="I299" s="34" t="e">
        <f>HYPERLINK(DiscoveryTable5[[#This Row],[Case Number]],COUNTIF(#REF!,DiscoveryTable5[[#This Row],[Case Number]]))</f>
        <v>#REF!</v>
      </c>
      <c r="J299" s="28" t="s">
        <v>556</v>
      </c>
    </row>
    <row r="300" spans="1:10" ht="126" x14ac:dyDescent="0.25">
      <c r="A300" s="27" t="s">
        <v>544</v>
      </c>
      <c r="B300" s="1" t="s">
        <v>545</v>
      </c>
      <c r="C300" s="1" t="s">
        <v>23</v>
      </c>
      <c r="D300" s="1" t="s">
        <v>546</v>
      </c>
      <c r="E300" s="1" t="s">
        <v>25</v>
      </c>
      <c r="F300" s="1" t="s">
        <v>547</v>
      </c>
      <c r="G300" s="22" t="s">
        <v>548</v>
      </c>
      <c r="H300" s="1" t="s">
        <v>549</v>
      </c>
      <c r="I300" s="34" t="e">
        <f>HYPERLINK(DiscoveryTable5[[#This Row],[Case Number]],COUNTIF(#REF!,DiscoveryTable5[[#This Row],[Case Number]]))</f>
        <v>#REF!</v>
      </c>
      <c r="J300" s="28" t="s">
        <v>550</v>
      </c>
    </row>
    <row r="301" spans="1:10" ht="15.75" x14ac:dyDescent="0.25">
      <c r="A301" s="27" t="s">
        <v>1683</v>
      </c>
      <c r="B301" s="1" t="s">
        <v>1684</v>
      </c>
      <c r="C301" s="1" t="s">
        <v>23</v>
      </c>
      <c r="D301" s="1" t="s">
        <v>1685</v>
      </c>
      <c r="E301" s="1" t="s">
        <v>25</v>
      </c>
      <c r="F301" s="1" t="s">
        <v>26</v>
      </c>
      <c r="G301" s="22" t="s">
        <v>1686</v>
      </c>
      <c r="H301" s="1" t="s">
        <v>1687</v>
      </c>
      <c r="I301" s="34" t="e">
        <f>HYPERLINK(DiscoveryTable5[[#This Row],[Case Number]],COUNTIF(#REF!,DiscoveryTable5[[#This Row],[Case Number]]))</f>
        <v>#REF!</v>
      </c>
      <c r="J301" s="28" t="s">
        <v>1688</v>
      </c>
    </row>
    <row r="302" spans="1:10" ht="15.75" x14ac:dyDescent="0.25">
      <c r="A302" s="27" t="s">
        <v>1689</v>
      </c>
      <c r="B302" s="1" t="s">
        <v>1690</v>
      </c>
      <c r="C302" s="1" t="s">
        <v>1691</v>
      </c>
      <c r="D302" s="1" t="s">
        <v>1685</v>
      </c>
      <c r="E302" s="1" t="s">
        <v>25</v>
      </c>
      <c r="F302" s="1" t="s">
        <v>26</v>
      </c>
      <c r="G302" s="22" t="s">
        <v>1692</v>
      </c>
      <c r="H302" s="1" t="s">
        <v>1693</v>
      </c>
      <c r="I302" s="34" t="e">
        <f>HYPERLINK(DiscoveryTable5[[#This Row],[Case Number]],COUNTIF(#REF!,DiscoveryTable5[[#This Row],[Case Number]]))</f>
        <v>#REF!</v>
      </c>
      <c r="J302" s="28" t="s">
        <v>1694</v>
      </c>
    </row>
    <row r="303" spans="1:10" ht="204.75" x14ac:dyDescent="0.25">
      <c r="A303" s="27" t="s">
        <v>1695</v>
      </c>
      <c r="B303" s="1" t="s">
        <v>1696</v>
      </c>
      <c r="C303" s="1" t="s">
        <v>1697</v>
      </c>
      <c r="D303" s="1" t="s">
        <v>1685</v>
      </c>
      <c r="E303" s="1" t="s">
        <v>25</v>
      </c>
      <c r="F303" s="1" t="s">
        <v>26</v>
      </c>
      <c r="G303" s="22" t="s">
        <v>1698</v>
      </c>
      <c r="H303" s="1" t="s">
        <v>1699</v>
      </c>
      <c r="I303" s="34" t="e">
        <f>HYPERLINK(DiscoveryTable5[[#This Row],[Case Number]],COUNTIF(#REF!,DiscoveryTable5[[#This Row],[Case Number]]))</f>
        <v>#REF!</v>
      </c>
      <c r="J303" s="28" t="s">
        <v>1700</v>
      </c>
    </row>
    <row r="304" spans="1:10" ht="252" x14ac:dyDescent="0.25">
      <c r="A304" s="27" t="s">
        <v>1701</v>
      </c>
      <c r="B304" s="1" t="s">
        <v>1702</v>
      </c>
      <c r="C304" s="1" t="s">
        <v>1703</v>
      </c>
      <c r="D304" s="1" t="s">
        <v>1685</v>
      </c>
      <c r="E304" s="1" t="s">
        <v>25</v>
      </c>
      <c r="F304" s="1" t="s">
        <v>26</v>
      </c>
      <c r="G304" s="22" t="s">
        <v>1704</v>
      </c>
      <c r="H304" s="1" t="s">
        <v>1705</v>
      </c>
      <c r="I304" s="34" t="e">
        <f>HYPERLINK(DiscoveryTable5[[#This Row],[Case Number]],COUNTIF(#REF!,DiscoveryTable5[[#This Row],[Case Number]]))</f>
        <v>#REF!</v>
      </c>
      <c r="J304" s="28" t="s">
        <v>1706</v>
      </c>
    </row>
    <row r="305" spans="1:10" ht="15.75" x14ac:dyDescent="0.25">
      <c r="A305" s="27" t="s">
        <v>1707</v>
      </c>
      <c r="B305" s="1" t="s">
        <v>1708</v>
      </c>
      <c r="C305" s="1" t="s">
        <v>1709</v>
      </c>
      <c r="D305" s="1" t="s">
        <v>1710</v>
      </c>
      <c r="E305" s="1" t="s">
        <v>25</v>
      </c>
      <c r="F305" s="1" t="s">
        <v>26</v>
      </c>
      <c r="G305" s="22" t="s">
        <v>1711</v>
      </c>
      <c r="H305" s="1" t="s">
        <v>1712</v>
      </c>
      <c r="I305" s="34" t="e">
        <f>HYPERLINK(DiscoveryTable5[[#This Row],[Case Number]],COUNTIF(#REF!,DiscoveryTable5[[#This Row],[Case Number]]))</f>
        <v>#REF!</v>
      </c>
      <c r="J305" s="28" t="s">
        <v>1713</v>
      </c>
    </row>
    <row r="306" spans="1:10" ht="63" hidden="1" x14ac:dyDescent="0.25">
      <c r="A306" s="27" t="s">
        <v>135</v>
      </c>
      <c r="B306" s="1" t="s">
        <v>136</v>
      </c>
      <c r="C306" s="1" t="s">
        <v>1714</v>
      </c>
      <c r="D306" s="1" t="s">
        <v>1715</v>
      </c>
      <c r="E306" s="1" t="s">
        <v>1575</v>
      </c>
      <c r="F306" s="1" t="s">
        <v>1576</v>
      </c>
      <c r="G306" s="22" t="s">
        <v>1716</v>
      </c>
      <c r="H306" s="1" t="s">
        <v>1717</v>
      </c>
      <c r="I306" s="34" t="e">
        <f>HYPERLINK(DiscoveryTable5[[#This Row],[Case Number]],COUNTIF(#REF!,DiscoveryTable5[[#This Row],[Case Number]]))</f>
        <v>#REF!</v>
      </c>
      <c r="J306" s="28" t="s">
        <v>1718</v>
      </c>
    </row>
    <row r="307" spans="1:10" ht="78.75" hidden="1" x14ac:dyDescent="0.25">
      <c r="A307" s="27" t="s">
        <v>1719</v>
      </c>
      <c r="B307" s="1" t="s">
        <v>1720</v>
      </c>
      <c r="C307" s="1" t="s">
        <v>1721</v>
      </c>
      <c r="D307" s="1" t="s">
        <v>1722</v>
      </c>
      <c r="E307" s="1" t="s">
        <v>25</v>
      </c>
      <c r="F307" s="1" t="s">
        <v>26</v>
      </c>
      <c r="G307" s="22" t="s">
        <v>1723</v>
      </c>
      <c r="H307" s="1" t="s">
        <v>1724</v>
      </c>
      <c r="I307" s="34" t="e">
        <f>HYPERLINK(DiscoveryTable5[[#This Row],[Case Number]],COUNTIF(#REF!,DiscoveryTable5[[#This Row],[Case Number]]))</f>
        <v>#REF!</v>
      </c>
      <c r="J307" s="28" t="s">
        <v>1725</v>
      </c>
    </row>
    <row r="308" spans="1:10" ht="15.75" x14ac:dyDescent="0.25">
      <c r="A308" s="27" t="s">
        <v>1726</v>
      </c>
      <c r="B308" s="1" t="s">
        <v>1727</v>
      </c>
      <c r="C308" s="1" t="s">
        <v>1728</v>
      </c>
      <c r="D308" s="1" t="s">
        <v>1729</v>
      </c>
      <c r="E308" s="1" t="s">
        <v>25</v>
      </c>
      <c r="F308" s="1" t="s">
        <v>26</v>
      </c>
      <c r="G308" s="22" t="s">
        <v>1730</v>
      </c>
      <c r="H308" s="1" t="s">
        <v>1731</v>
      </c>
      <c r="I308" s="34" t="e">
        <f>HYPERLINK(DiscoveryTable5[[#This Row],[Case Number]],COUNTIF(#REF!,DiscoveryTable5[[#This Row],[Case Number]]))</f>
        <v>#REF!</v>
      </c>
      <c r="J308" s="28" t="s">
        <v>1732</v>
      </c>
    </row>
    <row r="309" spans="1:10" ht="15.75" x14ac:dyDescent="0.25">
      <c r="A309" s="27" t="s">
        <v>1733</v>
      </c>
      <c r="B309" s="1" t="s">
        <v>1734</v>
      </c>
      <c r="C309" s="1" t="s">
        <v>23</v>
      </c>
      <c r="D309" s="1" t="s">
        <v>1735</v>
      </c>
      <c r="E309" s="1" t="s">
        <v>25</v>
      </c>
      <c r="F309" s="1" t="s">
        <v>26</v>
      </c>
      <c r="G309" s="22" t="s">
        <v>1736</v>
      </c>
      <c r="H309" s="1" t="s">
        <v>1737</v>
      </c>
      <c r="I309" s="34" t="e">
        <f>HYPERLINK(DiscoveryTable5[[#This Row],[Case Number]],COUNTIF(#REF!,DiscoveryTable5[[#This Row],[Case Number]]))</f>
        <v>#REF!</v>
      </c>
      <c r="J309" s="28" t="s">
        <v>1738</v>
      </c>
    </row>
    <row r="310" spans="1:10" ht="47.25" hidden="1" x14ac:dyDescent="0.25">
      <c r="A310" s="27" t="s">
        <v>537</v>
      </c>
      <c r="B310" s="1" t="s">
        <v>538</v>
      </c>
      <c r="C310" s="1" t="s">
        <v>23</v>
      </c>
      <c r="D310" s="1" t="s">
        <v>539</v>
      </c>
      <c r="E310" s="1" t="s">
        <v>25</v>
      </c>
      <c r="F310" s="1" t="s">
        <v>540</v>
      </c>
      <c r="G310" s="22" t="s">
        <v>541</v>
      </c>
      <c r="H310" s="1" t="s">
        <v>542</v>
      </c>
      <c r="I310" s="34" t="e">
        <f>HYPERLINK(DiscoveryTable5[[#This Row],[Case Number]],COUNTIF(#REF!,DiscoveryTable5[[#This Row],[Case Number]]))</f>
        <v>#REF!</v>
      </c>
      <c r="J310" s="28" t="s">
        <v>543</v>
      </c>
    </row>
    <row r="311" spans="1:10" ht="15.75" x14ac:dyDescent="0.25">
      <c r="A311" s="27" t="s">
        <v>1739</v>
      </c>
      <c r="B311" s="1" t="s">
        <v>1740</v>
      </c>
      <c r="C311" s="1" t="s">
        <v>23</v>
      </c>
      <c r="D311" s="1" t="s">
        <v>1741</v>
      </c>
      <c r="E311" s="1" t="s">
        <v>25</v>
      </c>
      <c r="F311" s="1" t="s">
        <v>26</v>
      </c>
      <c r="G311" s="22" t="s">
        <v>1742</v>
      </c>
      <c r="H311" s="1" t="s">
        <v>1743</v>
      </c>
      <c r="I311" s="34" t="e">
        <f>HYPERLINK(DiscoveryTable5[[#This Row],[Case Number]],COUNTIF(#REF!,DiscoveryTable5[[#This Row],[Case Number]]))</f>
        <v>#REF!</v>
      </c>
      <c r="J311" s="28" t="s">
        <v>1744</v>
      </c>
    </row>
    <row r="312" spans="1:10" ht="204.75" x14ac:dyDescent="0.25">
      <c r="A312" s="27" t="s">
        <v>1745</v>
      </c>
      <c r="B312" s="1" t="s">
        <v>1746</v>
      </c>
      <c r="C312" s="1" t="s">
        <v>23</v>
      </c>
      <c r="D312" s="1" t="s">
        <v>1747</v>
      </c>
      <c r="E312" s="1" t="s">
        <v>25</v>
      </c>
      <c r="F312" s="1" t="s">
        <v>26</v>
      </c>
      <c r="G312" s="22" t="s">
        <v>1748</v>
      </c>
      <c r="H312" s="1" t="s">
        <v>1749</v>
      </c>
      <c r="I312" s="34" t="e">
        <f>HYPERLINK(DiscoveryTable5[[#This Row],[Case Number]],COUNTIF(#REF!,DiscoveryTable5[[#This Row],[Case Number]]))</f>
        <v>#REF!</v>
      </c>
      <c r="J312" s="28" t="s">
        <v>1750</v>
      </c>
    </row>
    <row r="313" spans="1:10" ht="15.75" x14ac:dyDescent="0.25">
      <c r="A313" s="27" t="s">
        <v>1751</v>
      </c>
      <c r="B313" s="1" t="s">
        <v>1752</v>
      </c>
      <c r="C313" s="1" t="s">
        <v>23</v>
      </c>
      <c r="D313" s="1" t="s">
        <v>1753</v>
      </c>
      <c r="E313" s="1" t="s">
        <v>25</v>
      </c>
      <c r="F313" s="1" t="s">
        <v>26</v>
      </c>
      <c r="G313" s="22" t="s">
        <v>1754</v>
      </c>
      <c r="H313" s="1" t="s">
        <v>1755</v>
      </c>
      <c r="I313" s="34" t="e">
        <f>HYPERLINK(DiscoveryTable5[[#This Row],[Case Number]],COUNTIF(#REF!,DiscoveryTable5[[#This Row],[Case Number]]))</f>
        <v>#REF!</v>
      </c>
      <c r="J313" s="28" t="s">
        <v>1756</v>
      </c>
    </row>
    <row r="314" spans="1:10" ht="15.75" x14ac:dyDescent="0.25">
      <c r="A314" s="27" t="s">
        <v>1757</v>
      </c>
      <c r="B314" s="1" t="s">
        <v>1758</v>
      </c>
      <c r="C314" s="1" t="s">
        <v>1759</v>
      </c>
      <c r="D314" s="1" t="s">
        <v>1753</v>
      </c>
      <c r="E314" s="1" t="s">
        <v>25</v>
      </c>
      <c r="F314" s="1" t="s">
        <v>26</v>
      </c>
      <c r="G314" s="22" t="s">
        <v>1760</v>
      </c>
      <c r="H314" s="1" t="s">
        <v>1761</v>
      </c>
      <c r="I314" s="34" t="e">
        <f>HYPERLINK(DiscoveryTable5[[#This Row],[Case Number]],COUNTIF(#REF!,DiscoveryTable5[[#This Row],[Case Number]]))</f>
        <v>#REF!</v>
      </c>
      <c r="J314" s="28" t="s">
        <v>1762</v>
      </c>
    </row>
    <row r="315" spans="1:10" ht="15.75" x14ac:dyDescent="0.25">
      <c r="A315" s="27" t="s">
        <v>1763</v>
      </c>
      <c r="B315" s="1" t="s">
        <v>1764</v>
      </c>
      <c r="C315" s="1" t="s">
        <v>23</v>
      </c>
      <c r="D315" s="1" t="s">
        <v>1753</v>
      </c>
      <c r="E315" s="1" t="s">
        <v>25</v>
      </c>
      <c r="F315" s="1" t="s">
        <v>26</v>
      </c>
      <c r="G315" s="22" t="s">
        <v>1765</v>
      </c>
      <c r="H315" s="1" t="s">
        <v>1766</v>
      </c>
      <c r="I315" s="34" t="e">
        <f>HYPERLINK(DiscoveryTable5[[#This Row],[Case Number]],COUNTIF(#REF!,DiscoveryTable5[[#This Row],[Case Number]]))</f>
        <v>#REF!</v>
      </c>
      <c r="J315" s="28" t="s">
        <v>1767</v>
      </c>
    </row>
    <row r="316" spans="1:10" ht="78.75" x14ac:dyDescent="0.25">
      <c r="A316" s="27" t="s">
        <v>1768</v>
      </c>
      <c r="B316" s="1" t="s">
        <v>1769</v>
      </c>
      <c r="C316" s="1" t="s">
        <v>23</v>
      </c>
      <c r="D316" s="1" t="s">
        <v>1770</v>
      </c>
      <c r="E316" s="1" t="s">
        <v>142</v>
      </c>
      <c r="F316" s="1" t="s">
        <v>143</v>
      </c>
      <c r="G316" s="22" t="s">
        <v>1771</v>
      </c>
      <c r="H316" s="1" t="s">
        <v>1772</v>
      </c>
      <c r="I316" s="34" t="e">
        <f>HYPERLINK(DiscoveryTable5[[#This Row],[Case Number]],COUNTIF(#REF!,DiscoveryTable5[[#This Row],[Case Number]]))</f>
        <v>#REF!</v>
      </c>
      <c r="J316" s="28" t="s">
        <v>1773</v>
      </c>
    </row>
    <row r="317" spans="1:10" ht="15.75" x14ac:dyDescent="0.25">
      <c r="A317" s="27" t="s">
        <v>1774</v>
      </c>
      <c r="B317" s="1" t="s">
        <v>1775</v>
      </c>
      <c r="C317" s="1" t="s">
        <v>1776</v>
      </c>
      <c r="D317" s="1" t="s">
        <v>1777</v>
      </c>
      <c r="E317" s="1" t="s">
        <v>25</v>
      </c>
      <c r="F317" s="1" t="s">
        <v>26</v>
      </c>
      <c r="G317" s="22" t="s">
        <v>1778</v>
      </c>
      <c r="H317" s="1" t="s">
        <v>1779</v>
      </c>
      <c r="I317" s="34" t="e">
        <f>HYPERLINK(DiscoveryTable5[[#This Row],[Case Number]],COUNTIF(#REF!,DiscoveryTable5[[#This Row],[Case Number]]))</f>
        <v>#REF!</v>
      </c>
      <c r="J317" s="28" t="s">
        <v>1780</v>
      </c>
    </row>
    <row r="318" spans="1:10" ht="267.75" x14ac:dyDescent="0.25">
      <c r="A318" s="27" t="s">
        <v>1781</v>
      </c>
      <c r="B318" s="1" t="s">
        <v>1782</v>
      </c>
      <c r="C318" s="1" t="s">
        <v>23</v>
      </c>
      <c r="D318" s="1" t="s">
        <v>1783</v>
      </c>
      <c r="E318" s="1" t="s">
        <v>1784</v>
      </c>
      <c r="F318" s="1" t="s">
        <v>384</v>
      </c>
      <c r="G318" s="22" t="s">
        <v>1785</v>
      </c>
      <c r="H318" s="1" t="s">
        <v>1786</v>
      </c>
      <c r="I318" s="34" t="e">
        <f>HYPERLINK(DiscoveryTable5[[#This Row],[Case Number]],COUNTIF(#REF!,DiscoveryTable5[[#This Row],[Case Number]]))</f>
        <v>#REF!</v>
      </c>
      <c r="J318" s="28" t="s">
        <v>1787</v>
      </c>
    </row>
    <row r="319" spans="1:10" ht="31.5" x14ac:dyDescent="0.25">
      <c r="A319" s="27" t="s">
        <v>1795</v>
      </c>
      <c r="B319" s="1" t="s">
        <v>1796</v>
      </c>
      <c r="C319" s="1" t="s">
        <v>23</v>
      </c>
      <c r="D319" s="1" t="s">
        <v>1791</v>
      </c>
      <c r="E319" s="1" t="s">
        <v>25</v>
      </c>
      <c r="F319" s="1" t="s">
        <v>26</v>
      </c>
      <c r="G319" s="22" t="s">
        <v>1797</v>
      </c>
      <c r="H319" s="1" t="s">
        <v>1798</v>
      </c>
      <c r="I319" s="34" t="e">
        <f>HYPERLINK(DiscoveryTable5[[#This Row],[Case Number]],COUNTIF(#REF!,DiscoveryTable5[[#This Row],[Case Number]]))</f>
        <v>#REF!</v>
      </c>
      <c r="J319" s="28" t="s">
        <v>1799</v>
      </c>
    </row>
    <row r="320" spans="1:10" ht="15.75" x14ac:dyDescent="0.25">
      <c r="A320" s="27" t="s">
        <v>1788</v>
      </c>
      <c r="B320" s="1" t="s">
        <v>1789</v>
      </c>
      <c r="C320" s="1" t="s">
        <v>1790</v>
      </c>
      <c r="D320" s="1" t="s">
        <v>1791</v>
      </c>
      <c r="E320" s="1" t="s">
        <v>25</v>
      </c>
      <c r="F320" s="1" t="s">
        <v>26</v>
      </c>
      <c r="G320" s="22" t="s">
        <v>1792</v>
      </c>
      <c r="H320" s="1" t="s">
        <v>1793</v>
      </c>
      <c r="I320" s="34" t="e">
        <f>HYPERLINK(DiscoveryTable5[[#This Row],[Case Number]],COUNTIF(#REF!,DiscoveryTable5[[#This Row],[Case Number]]))</f>
        <v>#REF!</v>
      </c>
      <c r="J320" s="28" t="s">
        <v>1794</v>
      </c>
    </row>
    <row r="321" spans="1:10" ht="15.75" x14ac:dyDescent="0.25">
      <c r="A321" s="27" t="s">
        <v>1805</v>
      </c>
      <c r="B321" s="1" t="s">
        <v>1806</v>
      </c>
      <c r="C321" s="1" t="s">
        <v>23</v>
      </c>
      <c r="D321" s="1" t="s">
        <v>1791</v>
      </c>
      <c r="E321" s="1" t="s">
        <v>25</v>
      </c>
      <c r="F321" s="1" t="s">
        <v>26</v>
      </c>
      <c r="G321" s="22" t="s">
        <v>1807</v>
      </c>
      <c r="H321" s="1" t="s">
        <v>1808</v>
      </c>
      <c r="I321" s="34" t="e">
        <f>HYPERLINK(DiscoveryTable5[[#This Row],[Case Number]],COUNTIF(#REF!,DiscoveryTable5[[#This Row],[Case Number]]))</f>
        <v>#REF!</v>
      </c>
      <c r="J321" s="28" t="s">
        <v>1809</v>
      </c>
    </row>
    <row r="322" spans="1:10" ht="31.5" x14ac:dyDescent="0.25">
      <c r="A322" s="27" t="s">
        <v>1800</v>
      </c>
      <c r="B322" s="1" t="s">
        <v>1801</v>
      </c>
      <c r="C322" s="1" t="s">
        <v>23</v>
      </c>
      <c r="D322" s="1" t="s">
        <v>1791</v>
      </c>
      <c r="E322" s="1" t="s">
        <v>25</v>
      </c>
      <c r="F322" s="1" t="s">
        <v>26</v>
      </c>
      <c r="G322" s="22" t="s">
        <v>1802</v>
      </c>
      <c r="H322" s="1" t="s">
        <v>1803</v>
      </c>
      <c r="I322" s="34" t="e">
        <f>HYPERLINK(DiscoveryTable5[[#This Row],[Case Number]],COUNTIF(#REF!,DiscoveryTable5[[#This Row],[Case Number]]))</f>
        <v>#REF!</v>
      </c>
      <c r="J322" s="28" t="s">
        <v>1804</v>
      </c>
    </row>
    <row r="323" spans="1:10" ht="94.5" x14ac:dyDescent="0.25">
      <c r="A323" s="27" t="s">
        <v>1810</v>
      </c>
      <c r="B323" s="1" t="s">
        <v>1811</v>
      </c>
      <c r="C323" s="1" t="s">
        <v>1812</v>
      </c>
      <c r="D323" s="1" t="s">
        <v>1813</v>
      </c>
      <c r="E323" s="1" t="s">
        <v>1814</v>
      </c>
      <c r="F323" s="1" t="s">
        <v>1815</v>
      </c>
      <c r="G323" s="22" t="s">
        <v>1816</v>
      </c>
      <c r="H323" s="1" t="s">
        <v>1817</v>
      </c>
      <c r="I323" s="34" t="e">
        <f>HYPERLINK(DiscoveryTable5[[#This Row],[Case Number]],COUNTIF(#REF!,DiscoveryTable5[[#This Row],[Case Number]]))</f>
        <v>#REF!</v>
      </c>
      <c r="J323" s="28" t="s">
        <v>1818</v>
      </c>
    </row>
    <row r="324" spans="1:10" ht="94.5" x14ac:dyDescent="0.25">
      <c r="A324" s="27" t="s">
        <v>1819</v>
      </c>
      <c r="B324" s="1" t="s">
        <v>1820</v>
      </c>
      <c r="C324" s="1" t="s">
        <v>23</v>
      </c>
      <c r="D324" s="1" t="s">
        <v>1821</v>
      </c>
      <c r="E324" s="1" t="s">
        <v>34</v>
      </c>
      <c r="F324" s="1" t="s">
        <v>35</v>
      </c>
      <c r="G324" s="22" t="s">
        <v>1822</v>
      </c>
      <c r="H324" s="1" t="s">
        <v>1823</v>
      </c>
      <c r="I324" s="34" t="e">
        <f>HYPERLINK(DiscoveryTable5[[#This Row],[Case Number]],COUNTIF(#REF!,DiscoveryTable5[[#This Row],[Case Number]]))</f>
        <v>#REF!</v>
      </c>
      <c r="J324" s="28" t="s">
        <v>1824</v>
      </c>
    </row>
    <row r="325" spans="1:10" ht="204.75" x14ac:dyDescent="0.25">
      <c r="A325" s="27" t="s">
        <v>1825</v>
      </c>
      <c r="B325" s="1" t="s">
        <v>1826</v>
      </c>
      <c r="C325" s="1" t="s">
        <v>23</v>
      </c>
      <c r="D325" s="1" t="s">
        <v>1827</v>
      </c>
      <c r="E325" s="1" t="s">
        <v>1828</v>
      </c>
      <c r="F325" s="1" t="s">
        <v>1829</v>
      </c>
      <c r="G325" s="22" t="s">
        <v>1830</v>
      </c>
      <c r="H325" s="1" t="s">
        <v>1831</v>
      </c>
      <c r="I325" s="34" t="e">
        <f>HYPERLINK(DiscoveryTable5[[#This Row],[Case Number]],COUNTIF(#REF!,DiscoveryTable5[[#This Row],[Case Number]]))</f>
        <v>#REF!</v>
      </c>
      <c r="J325" s="28" t="s">
        <v>1832</v>
      </c>
    </row>
    <row r="326" spans="1:10" ht="78.75" hidden="1" x14ac:dyDescent="0.25">
      <c r="A326" s="27" t="s">
        <v>1833</v>
      </c>
      <c r="B326" s="1" t="s">
        <v>1834</v>
      </c>
      <c r="C326" s="1" t="s">
        <v>1835</v>
      </c>
      <c r="D326" s="1" t="s">
        <v>1827</v>
      </c>
      <c r="E326" s="1" t="s">
        <v>25</v>
      </c>
      <c r="F326" s="1" t="s">
        <v>26</v>
      </c>
      <c r="G326" s="22" t="s">
        <v>1836</v>
      </c>
      <c r="H326" s="1" t="s">
        <v>1837</v>
      </c>
      <c r="I326" s="34" t="e">
        <f>HYPERLINK(DiscoveryTable5[[#This Row],[Case Number]],COUNTIF(#REF!,DiscoveryTable5[[#This Row],[Case Number]]))</f>
        <v>#REF!</v>
      </c>
      <c r="J326" s="28" t="s">
        <v>1838</v>
      </c>
    </row>
    <row r="327" spans="1:10" ht="110.25" x14ac:dyDescent="0.25">
      <c r="A327" s="27" t="s">
        <v>1839</v>
      </c>
      <c r="B327" s="1" t="s">
        <v>1840</v>
      </c>
      <c r="C327" s="1" t="s">
        <v>1841</v>
      </c>
      <c r="D327" s="1" t="s">
        <v>1827</v>
      </c>
      <c r="E327" s="1" t="s">
        <v>1842</v>
      </c>
      <c r="F327" s="1" t="s">
        <v>1843</v>
      </c>
      <c r="G327" s="22" t="s">
        <v>1844</v>
      </c>
      <c r="H327" s="1" t="s">
        <v>1845</v>
      </c>
      <c r="I327" s="34" t="e">
        <f>HYPERLINK(DiscoveryTable5[[#This Row],[Case Number]],COUNTIF(#REF!,DiscoveryTable5[[#This Row],[Case Number]]))</f>
        <v>#REF!</v>
      </c>
      <c r="J327" s="28" t="s">
        <v>1846</v>
      </c>
    </row>
    <row r="328" spans="1:10" ht="31.5" hidden="1" x14ac:dyDescent="0.25">
      <c r="A328" s="27" t="s">
        <v>1847</v>
      </c>
      <c r="B328" s="1" t="s">
        <v>1848</v>
      </c>
      <c r="C328" s="1" t="s">
        <v>1849</v>
      </c>
      <c r="D328" s="1" t="s">
        <v>1850</v>
      </c>
      <c r="E328" s="1" t="s">
        <v>1851</v>
      </c>
      <c r="F328" s="1" t="s">
        <v>1852</v>
      </c>
      <c r="G328" s="22" t="s">
        <v>1853</v>
      </c>
      <c r="H328" s="1" t="s">
        <v>1854</v>
      </c>
      <c r="I328" s="34" t="e">
        <f>HYPERLINK(DiscoveryTable5[[#This Row],[Case Number]],COUNTIF(#REF!,DiscoveryTable5[[#This Row],[Case Number]]))</f>
        <v>#REF!</v>
      </c>
      <c r="J328" s="28" t="s">
        <v>1855</v>
      </c>
    </row>
    <row r="329" spans="1:10" ht="283.5" hidden="1" x14ac:dyDescent="0.25">
      <c r="A329" s="27" t="s">
        <v>1856</v>
      </c>
      <c r="B329" s="1" t="s">
        <v>1857</v>
      </c>
      <c r="C329" s="1" t="s">
        <v>23</v>
      </c>
      <c r="D329" s="1" t="s">
        <v>1858</v>
      </c>
      <c r="E329" s="1" t="s">
        <v>25</v>
      </c>
      <c r="F329" s="1" t="s">
        <v>26</v>
      </c>
      <c r="G329" s="22" t="s">
        <v>1859</v>
      </c>
      <c r="H329" s="1" t="s">
        <v>1860</v>
      </c>
      <c r="I329" s="34" t="e">
        <f>HYPERLINK(DiscoveryTable5[[#This Row],[Case Number]],COUNTIF(#REF!,DiscoveryTable5[[#This Row],[Case Number]]))</f>
        <v>#REF!</v>
      </c>
      <c r="J329" s="28" t="s">
        <v>1861</v>
      </c>
    </row>
    <row r="330" spans="1:10" ht="299.25" x14ac:dyDescent="0.25">
      <c r="A330" s="27" t="s">
        <v>1862</v>
      </c>
      <c r="B330" s="1" t="s">
        <v>1863</v>
      </c>
      <c r="C330" s="1" t="s">
        <v>23</v>
      </c>
      <c r="D330" s="1" t="s">
        <v>1858</v>
      </c>
      <c r="E330" s="1" t="s">
        <v>25</v>
      </c>
      <c r="F330" s="1" t="s">
        <v>26</v>
      </c>
      <c r="G330" s="22" t="s">
        <v>1864</v>
      </c>
      <c r="H330" s="1" t="s">
        <v>1865</v>
      </c>
      <c r="I330" s="34" t="e">
        <f>HYPERLINK(DiscoveryTable5[[#This Row],[Case Number]],COUNTIF(#REF!,DiscoveryTable5[[#This Row],[Case Number]]))</f>
        <v>#REF!</v>
      </c>
      <c r="J330" s="28" t="s">
        <v>1866</v>
      </c>
    </row>
    <row r="331" spans="1:10" ht="47.25" hidden="1" x14ac:dyDescent="0.25">
      <c r="A331" s="27" t="s">
        <v>1867</v>
      </c>
      <c r="B331" s="1" t="s">
        <v>1868</v>
      </c>
      <c r="C331" s="1" t="s">
        <v>23</v>
      </c>
      <c r="D331" s="1" t="s">
        <v>1869</v>
      </c>
      <c r="E331" s="1" t="s">
        <v>1870</v>
      </c>
      <c r="F331" s="1" t="s">
        <v>414</v>
      </c>
      <c r="G331" s="22" t="s">
        <v>1871</v>
      </c>
      <c r="H331" s="1" t="s">
        <v>1872</v>
      </c>
      <c r="I331" s="34" t="e">
        <f>HYPERLINK(DiscoveryTable5[[#This Row],[Case Number]],COUNTIF(#REF!,DiscoveryTable5[[#This Row],[Case Number]]))</f>
        <v>#REF!</v>
      </c>
      <c r="J331" s="28" t="s">
        <v>1873</v>
      </c>
    </row>
    <row r="332" spans="1:10" ht="330.75" x14ac:dyDescent="0.25">
      <c r="A332" s="27" t="s">
        <v>1874</v>
      </c>
      <c r="B332" s="1" t="s">
        <v>1875</v>
      </c>
      <c r="C332" s="1" t="s">
        <v>23</v>
      </c>
      <c r="D332" s="1" t="s">
        <v>1876</v>
      </c>
      <c r="E332" s="1" t="s">
        <v>25</v>
      </c>
      <c r="F332" s="1" t="s">
        <v>26</v>
      </c>
      <c r="G332" s="22" t="s">
        <v>1877</v>
      </c>
      <c r="H332" s="1" t="s">
        <v>1878</v>
      </c>
      <c r="I332" s="34" t="e">
        <f>HYPERLINK(DiscoveryTable5[[#This Row],[Case Number]],COUNTIF(#REF!,DiscoveryTable5[[#This Row],[Case Number]]))</f>
        <v>#REF!</v>
      </c>
      <c r="J332" s="28" t="s">
        <v>1879</v>
      </c>
    </row>
    <row r="333" spans="1:10" ht="141.75" hidden="1" x14ac:dyDescent="0.25">
      <c r="A333" s="27" t="s">
        <v>1886</v>
      </c>
      <c r="B333" s="1" t="s">
        <v>1887</v>
      </c>
      <c r="C333" s="1" t="s">
        <v>23</v>
      </c>
      <c r="D333" s="1" t="s">
        <v>1888</v>
      </c>
      <c r="E333" s="1" t="s">
        <v>25</v>
      </c>
      <c r="F333" s="1" t="s">
        <v>26</v>
      </c>
      <c r="G333" s="22" t="s">
        <v>1889</v>
      </c>
      <c r="H333" s="1" t="s">
        <v>1890</v>
      </c>
      <c r="I333" s="34" t="e">
        <f>HYPERLINK(DiscoveryTable5[[#This Row],[Case Number]],COUNTIF(#REF!,DiscoveryTable5[[#This Row],[Case Number]]))</f>
        <v>#REF!</v>
      </c>
      <c r="J333" s="28" t="s">
        <v>1891</v>
      </c>
    </row>
    <row r="334" spans="1:10" ht="409.5" hidden="1" x14ac:dyDescent="0.25">
      <c r="A334" s="27" t="s">
        <v>1880</v>
      </c>
      <c r="B334" s="1" t="s">
        <v>1881</v>
      </c>
      <c r="C334" s="1" t="s">
        <v>23</v>
      </c>
      <c r="D334" s="1" t="s">
        <v>1882</v>
      </c>
      <c r="E334" s="1" t="s">
        <v>25</v>
      </c>
      <c r="F334" s="1" t="s">
        <v>26</v>
      </c>
      <c r="G334" s="22" t="s">
        <v>1883</v>
      </c>
      <c r="H334" s="1" t="s">
        <v>1884</v>
      </c>
      <c r="I334" s="34" t="e">
        <f>HYPERLINK(DiscoveryTable5[[#This Row],[Case Number]],COUNTIF(#REF!,DiscoveryTable5[[#This Row],[Case Number]]))</f>
        <v>#REF!</v>
      </c>
      <c r="J334" s="28" t="s">
        <v>1885</v>
      </c>
    </row>
    <row r="335" spans="1:10" ht="110.25" x14ac:dyDescent="0.25">
      <c r="A335" s="27" t="s">
        <v>1644</v>
      </c>
      <c r="B335" s="1" t="s">
        <v>1645</v>
      </c>
      <c r="C335" s="1" t="s">
        <v>23</v>
      </c>
      <c r="D335" s="1" t="s">
        <v>1646</v>
      </c>
      <c r="E335" s="1" t="s">
        <v>25</v>
      </c>
      <c r="F335" s="1" t="s">
        <v>1647</v>
      </c>
      <c r="G335" s="22" t="s">
        <v>1648</v>
      </c>
      <c r="H335" s="1" t="s">
        <v>1649</v>
      </c>
      <c r="I335" s="34" t="e">
        <f>HYPERLINK(DiscoveryTable5[[#This Row],[Case Number]],COUNTIF(#REF!,DiscoveryTable5[[#This Row],[Case Number]]))</f>
        <v>#REF!</v>
      </c>
      <c r="J335" s="28" t="s">
        <v>1650</v>
      </c>
    </row>
    <row r="336" spans="1:10" ht="220.5" x14ac:dyDescent="0.25">
      <c r="A336" s="27" t="s">
        <v>1892</v>
      </c>
      <c r="B336" s="1" t="s">
        <v>1893</v>
      </c>
      <c r="C336" s="1" t="s">
        <v>23</v>
      </c>
      <c r="D336" s="1" t="s">
        <v>1894</v>
      </c>
      <c r="E336" s="1" t="s">
        <v>1895</v>
      </c>
      <c r="F336" s="1" t="s">
        <v>1896</v>
      </c>
      <c r="G336" s="22" t="s">
        <v>1897</v>
      </c>
      <c r="H336" s="1" t="s">
        <v>1898</v>
      </c>
      <c r="I336" s="34" t="e">
        <f>HYPERLINK(DiscoveryTable5[[#This Row],[Case Number]],COUNTIF(#REF!,DiscoveryTable5[[#This Row],[Case Number]]))</f>
        <v>#REF!</v>
      </c>
      <c r="J336" s="28" t="s">
        <v>1899</v>
      </c>
    </row>
    <row r="337" spans="1:10" ht="63" hidden="1" x14ac:dyDescent="0.25">
      <c r="A337" s="27" t="s">
        <v>1900</v>
      </c>
      <c r="B337" s="1" t="s">
        <v>1901</v>
      </c>
      <c r="C337" s="1" t="s">
        <v>23</v>
      </c>
      <c r="D337" s="1" t="s">
        <v>1894</v>
      </c>
      <c r="E337" s="1" t="s">
        <v>1902</v>
      </c>
      <c r="F337" s="1" t="s">
        <v>1903</v>
      </c>
      <c r="G337" s="22" t="s">
        <v>1904</v>
      </c>
      <c r="H337" s="1" t="s">
        <v>1905</v>
      </c>
      <c r="I337" s="34" t="e">
        <f>HYPERLINK(DiscoveryTable5[[#This Row],[Case Number]],COUNTIF(#REF!,DiscoveryTable5[[#This Row],[Case Number]]))</f>
        <v>#REF!</v>
      </c>
      <c r="J337" s="28" t="s">
        <v>1906</v>
      </c>
    </row>
    <row r="338" spans="1:10" ht="126" x14ac:dyDescent="0.25">
      <c r="A338" s="27" t="s">
        <v>135</v>
      </c>
      <c r="B338" s="1" t="s">
        <v>136</v>
      </c>
      <c r="C338" s="1" t="s">
        <v>23</v>
      </c>
      <c r="D338" s="1" t="s">
        <v>1907</v>
      </c>
      <c r="E338" s="1" t="s">
        <v>25</v>
      </c>
      <c r="F338" s="1" t="s">
        <v>26</v>
      </c>
      <c r="G338" s="22" t="s">
        <v>1908</v>
      </c>
      <c r="H338" s="1" t="s">
        <v>1909</v>
      </c>
      <c r="I338" s="34" t="e">
        <f>HYPERLINK(DiscoveryTable5[[#This Row],[Case Number]],COUNTIF(#REF!,DiscoveryTable5[[#This Row],[Case Number]]))</f>
        <v>#REF!</v>
      </c>
      <c r="J338" s="28" t="s">
        <v>1910</v>
      </c>
    </row>
    <row r="339" spans="1:10" ht="110.25" hidden="1" x14ac:dyDescent="0.25">
      <c r="A339" s="27" t="s">
        <v>1911</v>
      </c>
      <c r="B339" s="1" t="s">
        <v>1912</v>
      </c>
      <c r="C339" s="1" t="s">
        <v>23</v>
      </c>
      <c r="D339" s="1" t="s">
        <v>1907</v>
      </c>
      <c r="E339" s="1" t="s">
        <v>25</v>
      </c>
      <c r="F339" s="1" t="s">
        <v>26</v>
      </c>
      <c r="G339" s="22" t="s">
        <v>1913</v>
      </c>
      <c r="H339" s="1" t="s">
        <v>1914</v>
      </c>
      <c r="I339" s="34" t="e">
        <f>HYPERLINK(DiscoveryTable5[[#This Row],[Case Number]],COUNTIF(#REF!,DiscoveryTable5[[#This Row],[Case Number]]))</f>
        <v>#REF!</v>
      </c>
      <c r="J339" s="28" t="s">
        <v>1915</v>
      </c>
    </row>
    <row r="340" spans="1:10" ht="204.75" x14ac:dyDescent="0.25">
      <c r="A340" s="27" t="s">
        <v>1916</v>
      </c>
      <c r="B340" s="1" t="s">
        <v>1917</v>
      </c>
      <c r="C340" s="1" t="s">
        <v>23</v>
      </c>
      <c r="D340" s="1" t="s">
        <v>1918</v>
      </c>
      <c r="E340" s="1" t="s">
        <v>1919</v>
      </c>
      <c r="F340" s="1" t="s">
        <v>1920</v>
      </c>
      <c r="G340" s="22" t="s">
        <v>1921</v>
      </c>
      <c r="H340" s="1" t="s">
        <v>1922</v>
      </c>
      <c r="I340" s="34" t="e">
        <f>HYPERLINK(DiscoveryTable5[[#This Row],[Case Number]],COUNTIF(#REF!,DiscoveryTable5[[#This Row],[Case Number]]))</f>
        <v>#REF!</v>
      </c>
      <c r="J340" s="28" t="s">
        <v>1923</v>
      </c>
    </row>
    <row r="341" spans="1:10" ht="15.75" x14ac:dyDescent="0.25">
      <c r="A341" s="27" t="s">
        <v>1924</v>
      </c>
      <c r="B341" s="1" t="s">
        <v>1925</v>
      </c>
      <c r="C341" s="1" t="s">
        <v>1926</v>
      </c>
      <c r="D341" s="1" t="s">
        <v>1927</v>
      </c>
      <c r="E341" s="1" t="s">
        <v>25</v>
      </c>
      <c r="F341" s="1" t="s">
        <v>26</v>
      </c>
      <c r="G341" s="22" t="s">
        <v>1928</v>
      </c>
      <c r="H341" s="1" t="s">
        <v>1929</v>
      </c>
      <c r="I341" s="34" t="e">
        <f>HYPERLINK(DiscoveryTable5[[#This Row],[Case Number]],COUNTIF(#REF!,DiscoveryTable5[[#This Row],[Case Number]]))</f>
        <v>#REF!</v>
      </c>
      <c r="J341" s="28" t="s">
        <v>1930</v>
      </c>
    </row>
    <row r="342" spans="1:10" ht="362.25" hidden="1" x14ac:dyDescent="0.25">
      <c r="A342" s="27" t="s">
        <v>1937</v>
      </c>
      <c r="B342" s="1" t="s">
        <v>23</v>
      </c>
      <c r="C342" s="1" t="s">
        <v>1938</v>
      </c>
      <c r="D342" s="1" t="s">
        <v>1933</v>
      </c>
      <c r="E342" s="1" t="s">
        <v>25</v>
      </c>
      <c r="F342" s="1" t="s">
        <v>26</v>
      </c>
      <c r="G342" s="22" t="s">
        <v>1939</v>
      </c>
      <c r="H342" s="1" t="s">
        <v>1940</v>
      </c>
      <c r="I342" s="34" t="e">
        <f>HYPERLINK(DiscoveryTable5[[#This Row],[Case Number]],COUNTIF(#REF!,DiscoveryTable5[[#This Row],[Case Number]]))</f>
        <v>#REF!</v>
      </c>
      <c r="J342" s="28" t="s">
        <v>1941</v>
      </c>
    </row>
    <row r="343" spans="1:10" ht="378" hidden="1" x14ac:dyDescent="0.25">
      <c r="A343" s="27" t="s">
        <v>1931</v>
      </c>
      <c r="B343" s="1" t="s">
        <v>23</v>
      </c>
      <c r="C343" s="1" t="s">
        <v>1932</v>
      </c>
      <c r="D343" s="1" t="s">
        <v>1933</v>
      </c>
      <c r="E343" s="1" t="s">
        <v>25</v>
      </c>
      <c r="F343" s="1" t="s">
        <v>26</v>
      </c>
      <c r="G343" s="22" t="s">
        <v>1934</v>
      </c>
      <c r="H343" s="1" t="s">
        <v>1935</v>
      </c>
      <c r="I343" s="34" t="e">
        <f>HYPERLINK(DiscoveryTable5[[#This Row],[Case Number]],COUNTIF(#REF!,DiscoveryTable5[[#This Row],[Case Number]]))</f>
        <v>#REF!</v>
      </c>
      <c r="J343" s="28" t="s">
        <v>1936</v>
      </c>
    </row>
    <row r="344" spans="1:10" ht="173.25" x14ac:dyDescent="0.25">
      <c r="A344" s="27" t="s">
        <v>1942</v>
      </c>
      <c r="B344" s="1" t="s">
        <v>1943</v>
      </c>
      <c r="C344" s="1" t="s">
        <v>23</v>
      </c>
      <c r="D344" s="1" t="s">
        <v>1944</v>
      </c>
      <c r="E344" s="1" t="s">
        <v>25</v>
      </c>
      <c r="F344" s="1" t="s">
        <v>26</v>
      </c>
      <c r="G344" s="22" t="s">
        <v>1945</v>
      </c>
      <c r="H344" s="1" t="s">
        <v>1946</v>
      </c>
      <c r="I344" s="34" t="e">
        <f>HYPERLINK(DiscoveryTable5[[#This Row],[Case Number]],COUNTIF(#REF!,DiscoveryTable5[[#This Row],[Case Number]]))</f>
        <v>#REF!</v>
      </c>
      <c r="J344" s="28" t="s">
        <v>1947</v>
      </c>
    </row>
    <row r="345" spans="1:10" ht="252" x14ac:dyDescent="0.25">
      <c r="A345" s="27" t="s">
        <v>1948</v>
      </c>
      <c r="B345" s="1" t="s">
        <v>1949</v>
      </c>
      <c r="C345" s="1" t="s">
        <v>1950</v>
      </c>
      <c r="D345" s="1" t="s">
        <v>1951</v>
      </c>
      <c r="E345" s="1" t="s">
        <v>1952</v>
      </c>
      <c r="F345" s="1" t="s">
        <v>1953</v>
      </c>
      <c r="G345" s="22" t="s">
        <v>1954</v>
      </c>
      <c r="H345" s="1" t="s">
        <v>1955</v>
      </c>
      <c r="I345" s="34" t="e">
        <f>HYPERLINK(DiscoveryTable5[[#This Row],[Case Number]],COUNTIF(#REF!,DiscoveryTable5[[#This Row],[Case Number]]))</f>
        <v>#REF!</v>
      </c>
      <c r="J345" s="28" t="s">
        <v>1956</v>
      </c>
    </row>
    <row r="346" spans="1:10" ht="47.25" hidden="1" x14ac:dyDescent="0.25">
      <c r="A346" s="27" t="s">
        <v>1957</v>
      </c>
      <c r="B346" s="1" t="s">
        <v>1958</v>
      </c>
      <c r="C346" s="1" t="s">
        <v>1959</v>
      </c>
      <c r="D346" s="1" t="s">
        <v>1960</v>
      </c>
      <c r="E346" s="1" t="s">
        <v>1575</v>
      </c>
      <c r="F346" s="1" t="s">
        <v>1576</v>
      </c>
      <c r="G346" s="22" t="s">
        <v>1961</v>
      </c>
      <c r="H346" s="1" t="s">
        <v>1962</v>
      </c>
      <c r="I346" s="34" t="e">
        <f>HYPERLINK(DiscoveryTable5[[#This Row],[Case Number]],COUNTIF(#REF!,DiscoveryTable5[[#This Row],[Case Number]]))</f>
        <v>#REF!</v>
      </c>
      <c r="J346" s="28" t="s">
        <v>1963</v>
      </c>
    </row>
    <row r="347" spans="1:10" ht="315" hidden="1" x14ac:dyDescent="0.25">
      <c r="A347" s="27" t="s">
        <v>1964</v>
      </c>
      <c r="B347" s="1" t="s">
        <v>1965</v>
      </c>
      <c r="C347" s="1" t="s">
        <v>1966</v>
      </c>
      <c r="D347" s="1" t="s">
        <v>1967</v>
      </c>
      <c r="E347" s="1" t="s">
        <v>25</v>
      </c>
      <c r="F347" s="1" t="s">
        <v>26</v>
      </c>
      <c r="G347" s="22" t="s">
        <v>1968</v>
      </c>
      <c r="H347" s="1" t="s">
        <v>1969</v>
      </c>
      <c r="I347" s="34" t="e">
        <f>HYPERLINK(DiscoveryTable5[[#This Row],[Case Number]],COUNTIF(#REF!,DiscoveryTable5[[#This Row],[Case Number]]))</f>
        <v>#REF!</v>
      </c>
      <c r="J347" s="28" t="s">
        <v>1970</v>
      </c>
    </row>
    <row r="348" spans="1:10" ht="330.75" x14ac:dyDescent="0.25">
      <c r="A348" s="27" t="s">
        <v>1971</v>
      </c>
      <c r="B348" s="1" t="s">
        <v>1972</v>
      </c>
      <c r="C348" s="1" t="s">
        <v>1973</v>
      </c>
      <c r="D348" s="1" t="s">
        <v>1974</v>
      </c>
      <c r="E348" s="1" t="s">
        <v>25</v>
      </c>
      <c r="F348" s="1" t="s">
        <v>26</v>
      </c>
      <c r="G348" s="22" t="s">
        <v>1975</v>
      </c>
      <c r="H348" s="1" t="s">
        <v>1976</v>
      </c>
      <c r="I348" s="34" t="e">
        <f>HYPERLINK(DiscoveryTable5[[#This Row],[Case Number]],COUNTIF(#REF!,DiscoveryTable5[[#This Row],[Case Number]]))</f>
        <v>#REF!</v>
      </c>
      <c r="J348" s="28" t="s">
        <v>1977</v>
      </c>
    </row>
    <row r="349" spans="1:10" ht="283.5" hidden="1" x14ac:dyDescent="0.25">
      <c r="A349" s="27" t="s">
        <v>1978</v>
      </c>
      <c r="B349" s="1" t="s">
        <v>1979</v>
      </c>
      <c r="C349" s="1" t="s">
        <v>23</v>
      </c>
      <c r="D349" s="1" t="s">
        <v>1980</v>
      </c>
      <c r="E349" s="1" t="s">
        <v>25</v>
      </c>
      <c r="F349" s="1" t="s">
        <v>26</v>
      </c>
      <c r="G349" s="22" t="s">
        <v>1981</v>
      </c>
      <c r="H349" s="1" t="s">
        <v>1982</v>
      </c>
      <c r="I349" s="34" t="e">
        <f>HYPERLINK(DiscoveryTable5[[#This Row],[Case Number]],COUNTIF(#REF!,DiscoveryTable5[[#This Row],[Case Number]]))</f>
        <v>#REF!</v>
      </c>
      <c r="J349" s="28" t="s">
        <v>1983</v>
      </c>
    </row>
    <row r="350" spans="1:10" ht="267.75" hidden="1" x14ac:dyDescent="0.25">
      <c r="A350" s="27" t="s">
        <v>1978</v>
      </c>
      <c r="B350" s="1" t="s">
        <v>1979</v>
      </c>
      <c r="C350" s="1" t="s">
        <v>23</v>
      </c>
      <c r="D350" s="1" t="s">
        <v>1984</v>
      </c>
      <c r="E350" s="1" t="s">
        <v>1985</v>
      </c>
      <c r="F350" s="1" t="s">
        <v>1986</v>
      </c>
      <c r="G350" s="22" t="s">
        <v>1987</v>
      </c>
      <c r="H350" s="1" t="s">
        <v>1988</v>
      </c>
      <c r="I350" s="34" t="e">
        <f>HYPERLINK(DiscoveryTable5[[#This Row],[Case Number]],COUNTIF(#REF!,DiscoveryTable5[[#This Row],[Case Number]]))</f>
        <v>#REF!</v>
      </c>
      <c r="J350" s="28" t="s">
        <v>1989</v>
      </c>
    </row>
    <row r="351" spans="1:10" ht="315" hidden="1" x14ac:dyDescent="0.25">
      <c r="A351" s="27" t="s">
        <v>1990</v>
      </c>
      <c r="B351" s="1" t="s">
        <v>1991</v>
      </c>
      <c r="C351" s="1" t="s">
        <v>23</v>
      </c>
      <c r="D351" s="1" t="s">
        <v>1992</v>
      </c>
      <c r="E351" s="1" t="s">
        <v>25</v>
      </c>
      <c r="F351" s="1" t="s">
        <v>26</v>
      </c>
      <c r="G351" s="22" t="s">
        <v>1993</v>
      </c>
      <c r="H351" s="1" t="s">
        <v>1994</v>
      </c>
      <c r="I351" s="34" t="e">
        <f>HYPERLINK(DiscoveryTable5[[#This Row],[Case Number]],COUNTIF(#REF!,DiscoveryTable5[[#This Row],[Case Number]]))</f>
        <v>#REF!</v>
      </c>
      <c r="J351" s="28" t="s">
        <v>1995</v>
      </c>
    </row>
    <row r="352" spans="1:10" ht="31.5" hidden="1" x14ac:dyDescent="0.25">
      <c r="A352" s="27" t="s">
        <v>1996</v>
      </c>
      <c r="B352" s="1" t="s">
        <v>1997</v>
      </c>
      <c r="C352" s="1" t="s">
        <v>23</v>
      </c>
      <c r="D352" s="1" t="s">
        <v>1998</v>
      </c>
      <c r="E352" s="1" t="s">
        <v>1999</v>
      </c>
      <c r="F352" s="1" t="s">
        <v>2000</v>
      </c>
      <c r="G352" s="22" t="s">
        <v>2001</v>
      </c>
      <c r="H352" s="1" t="s">
        <v>2002</v>
      </c>
      <c r="I352" s="34" t="e">
        <f>HYPERLINK(DiscoveryTable5[[#This Row],[Case Number]],COUNTIF(#REF!,DiscoveryTable5[[#This Row],[Case Number]]))</f>
        <v>#REF!</v>
      </c>
      <c r="J352" s="28" t="s">
        <v>2003</v>
      </c>
    </row>
    <row r="353" spans="1:10" ht="220.5" x14ac:dyDescent="0.25">
      <c r="A353" s="27" t="s">
        <v>2004</v>
      </c>
      <c r="B353" s="1" t="s">
        <v>2005</v>
      </c>
      <c r="C353" s="1" t="s">
        <v>23</v>
      </c>
      <c r="D353" s="1" t="s">
        <v>1998</v>
      </c>
      <c r="E353" s="1" t="s">
        <v>25</v>
      </c>
      <c r="F353" s="1" t="s">
        <v>26</v>
      </c>
      <c r="G353" s="22" t="s">
        <v>2006</v>
      </c>
      <c r="H353" s="1" t="s">
        <v>2007</v>
      </c>
      <c r="I353" s="34" t="e">
        <f>HYPERLINK(DiscoveryTable5[[#This Row],[Case Number]],COUNTIF(#REF!,DiscoveryTable5[[#This Row],[Case Number]]))</f>
        <v>#REF!</v>
      </c>
      <c r="J353" s="28" t="s">
        <v>2008</v>
      </c>
    </row>
    <row r="354" spans="1:10" ht="315" hidden="1" x14ac:dyDescent="0.25">
      <c r="A354" s="27" t="s">
        <v>2009</v>
      </c>
      <c r="B354" s="1" t="s">
        <v>2010</v>
      </c>
      <c r="C354" s="1" t="s">
        <v>2011</v>
      </c>
      <c r="D354" s="1" t="s">
        <v>2012</v>
      </c>
      <c r="E354" s="1" t="s">
        <v>2013</v>
      </c>
      <c r="F354" s="1" t="s">
        <v>2014</v>
      </c>
      <c r="G354" s="22" t="s">
        <v>2015</v>
      </c>
      <c r="H354" s="1" t="s">
        <v>2016</v>
      </c>
      <c r="I354" s="34" t="e">
        <f>HYPERLINK(DiscoveryTable5[[#This Row],[Case Number]],COUNTIF(#REF!,DiscoveryTable5[[#This Row],[Case Number]]))</f>
        <v>#REF!</v>
      </c>
      <c r="J354" s="28" t="s">
        <v>2017</v>
      </c>
    </row>
    <row r="355" spans="1:10" ht="283.5" hidden="1" x14ac:dyDescent="0.25">
      <c r="A355" s="27" t="s">
        <v>2018</v>
      </c>
      <c r="B355" s="1" t="s">
        <v>2019</v>
      </c>
      <c r="C355" s="1" t="s">
        <v>23</v>
      </c>
      <c r="D355" s="1" t="s">
        <v>2020</v>
      </c>
      <c r="E355" s="1" t="s">
        <v>25</v>
      </c>
      <c r="F355" s="1" t="s">
        <v>26</v>
      </c>
      <c r="G355" s="22" t="s">
        <v>2021</v>
      </c>
      <c r="H355" s="1" t="s">
        <v>2022</v>
      </c>
      <c r="I355" s="34" t="e">
        <f>HYPERLINK(DiscoveryTable5[[#This Row],[Case Number]],COUNTIF(#REF!,DiscoveryTable5[[#This Row],[Case Number]]))</f>
        <v>#REF!</v>
      </c>
      <c r="J355" s="28" t="s">
        <v>2023</v>
      </c>
    </row>
    <row r="356" spans="1:10" ht="63" hidden="1" x14ac:dyDescent="0.25">
      <c r="A356" s="27" t="s">
        <v>2024</v>
      </c>
      <c r="B356" s="1" t="s">
        <v>2025</v>
      </c>
      <c r="C356" s="1" t="s">
        <v>2026</v>
      </c>
      <c r="D356" s="1" t="s">
        <v>2027</v>
      </c>
      <c r="E356" s="1" t="s">
        <v>1380</v>
      </c>
      <c r="F356" s="1" t="s">
        <v>1381</v>
      </c>
      <c r="G356" s="22" t="s">
        <v>2028</v>
      </c>
      <c r="H356" s="1" t="s">
        <v>2029</v>
      </c>
      <c r="I356" s="34" t="e">
        <f>HYPERLINK(DiscoveryTable5[[#This Row],[Case Number]],COUNTIF(#REF!,DiscoveryTable5[[#This Row],[Case Number]]))</f>
        <v>#REF!</v>
      </c>
      <c r="J356" s="28" t="s">
        <v>2030</v>
      </c>
    </row>
    <row r="357" spans="1:10" ht="378" x14ac:dyDescent="0.25">
      <c r="A357" s="27" t="s">
        <v>2031</v>
      </c>
      <c r="B357" s="1" t="s">
        <v>2032</v>
      </c>
      <c r="C357" s="1" t="s">
        <v>2033</v>
      </c>
      <c r="D357" s="1" t="s">
        <v>2034</v>
      </c>
      <c r="E357" s="1" t="s">
        <v>25</v>
      </c>
      <c r="F357" s="1" t="s">
        <v>26</v>
      </c>
      <c r="G357" s="22" t="s">
        <v>2035</v>
      </c>
      <c r="H357" s="1" t="s">
        <v>2036</v>
      </c>
      <c r="I357" s="34" t="e">
        <f>HYPERLINK(DiscoveryTable5[[#This Row],[Case Number]],COUNTIF(#REF!,DiscoveryTable5[[#This Row],[Case Number]]))</f>
        <v>#REF!</v>
      </c>
      <c r="J357" s="28" t="s">
        <v>2037</v>
      </c>
    </row>
    <row r="358" spans="1:10" ht="330.75" x14ac:dyDescent="0.25">
      <c r="A358" s="27" t="s">
        <v>2038</v>
      </c>
      <c r="B358" s="1" t="s">
        <v>2039</v>
      </c>
      <c r="C358" s="1" t="s">
        <v>23</v>
      </c>
      <c r="D358" s="1" t="s">
        <v>2040</v>
      </c>
      <c r="E358" s="1" t="s">
        <v>25</v>
      </c>
      <c r="F358" s="1" t="s">
        <v>26</v>
      </c>
      <c r="G358" s="22" t="s">
        <v>2041</v>
      </c>
      <c r="H358" s="1" t="s">
        <v>2042</v>
      </c>
      <c r="I358" s="34" t="e">
        <f>HYPERLINK(DiscoveryTable5[[#This Row],[Case Number]],COUNTIF(#REF!,DiscoveryTable5[[#This Row],[Case Number]]))</f>
        <v>#REF!</v>
      </c>
      <c r="J358" s="28" t="s">
        <v>2043</v>
      </c>
    </row>
    <row r="359" spans="1:10" ht="378" x14ac:dyDescent="0.25">
      <c r="A359" s="27" t="s">
        <v>2044</v>
      </c>
      <c r="B359" s="1" t="s">
        <v>23</v>
      </c>
      <c r="C359" s="1" t="s">
        <v>2045</v>
      </c>
      <c r="D359" s="1" t="s">
        <v>2046</v>
      </c>
      <c r="E359" s="1" t="s">
        <v>2047</v>
      </c>
      <c r="F359" s="1" t="s">
        <v>2048</v>
      </c>
      <c r="G359" s="22" t="s">
        <v>2049</v>
      </c>
      <c r="H359" s="1" t="s">
        <v>2050</v>
      </c>
      <c r="I359" s="34" t="e">
        <f>HYPERLINK(DiscoveryTable5[[#This Row],[Case Number]],COUNTIF(#REF!,DiscoveryTable5[[#This Row],[Case Number]]))</f>
        <v>#REF!</v>
      </c>
      <c r="J359" s="28" t="s">
        <v>2051</v>
      </c>
    </row>
    <row r="360" spans="1:10" ht="63" hidden="1" x14ac:dyDescent="0.25">
      <c r="A360" s="27" t="s">
        <v>2052</v>
      </c>
      <c r="B360" s="1" t="s">
        <v>2053</v>
      </c>
      <c r="C360" s="1" t="s">
        <v>23</v>
      </c>
      <c r="D360" s="1" t="s">
        <v>2054</v>
      </c>
      <c r="E360" s="1" t="s">
        <v>1575</v>
      </c>
      <c r="F360" s="1" t="s">
        <v>1576</v>
      </c>
      <c r="G360" s="22" t="s">
        <v>2055</v>
      </c>
      <c r="H360" s="1" t="s">
        <v>2056</v>
      </c>
      <c r="I360" s="34" t="e">
        <f>HYPERLINK(DiscoveryTable5[[#This Row],[Case Number]],COUNTIF(#REF!,DiscoveryTable5[[#This Row],[Case Number]]))</f>
        <v>#REF!</v>
      </c>
      <c r="J360" s="28" t="s">
        <v>2057</v>
      </c>
    </row>
    <row r="361" spans="1:10" ht="126" x14ac:dyDescent="0.25">
      <c r="A361" s="27" t="s">
        <v>2058</v>
      </c>
      <c r="B361" s="1" t="s">
        <v>2059</v>
      </c>
      <c r="C361" s="1" t="s">
        <v>23</v>
      </c>
      <c r="D361" s="1" t="s">
        <v>2060</v>
      </c>
      <c r="E361" s="1" t="s">
        <v>25</v>
      </c>
      <c r="F361" s="1" t="s">
        <v>26</v>
      </c>
      <c r="G361" s="22" t="s">
        <v>2061</v>
      </c>
      <c r="H361" s="1" t="s">
        <v>2062</v>
      </c>
      <c r="I361" s="34" t="e">
        <f>HYPERLINK(DiscoveryTable5[[#This Row],[Case Number]],COUNTIF(#REF!,DiscoveryTable5[[#This Row],[Case Number]]))</f>
        <v>#REF!</v>
      </c>
      <c r="J361" s="28" t="s">
        <v>2063</v>
      </c>
    </row>
    <row r="362" spans="1:10" ht="204.75" x14ac:dyDescent="0.25">
      <c r="A362" s="27" t="s">
        <v>2064</v>
      </c>
      <c r="B362" s="1" t="s">
        <v>2065</v>
      </c>
      <c r="C362" s="1" t="s">
        <v>23</v>
      </c>
      <c r="D362" s="1" t="s">
        <v>2066</v>
      </c>
      <c r="E362" s="1" t="s">
        <v>2067</v>
      </c>
      <c r="F362" s="1" t="s">
        <v>2068</v>
      </c>
      <c r="G362" s="22" t="s">
        <v>2069</v>
      </c>
      <c r="H362" s="1" t="s">
        <v>2070</v>
      </c>
      <c r="I362" s="34" t="e">
        <f>HYPERLINK(DiscoveryTable5[[#This Row],[Case Number]],COUNTIF(#REF!,DiscoveryTable5[[#This Row],[Case Number]]))</f>
        <v>#REF!</v>
      </c>
      <c r="J362" s="28" t="s">
        <v>2071</v>
      </c>
    </row>
    <row r="363" spans="1:10" ht="157.5" hidden="1" x14ac:dyDescent="0.25">
      <c r="A363" s="27" t="s">
        <v>2072</v>
      </c>
      <c r="B363" s="1" t="s">
        <v>2073</v>
      </c>
      <c r="C363" s="1" t="s">
        <v>23</v>
      </c>
      <c r="D363" s="1" t="s">
        <v>2074</v>
      </c>
      <c r="E363" s="1" t="s">
        <v>1380</v>
      </c>
      <c r="F363" s="1" t="s">
        <v>1381</v>
      </c>
      <c r="G363" s="22" t="s">
        <v>2075</v>
      </c>
      <c r="H363" s="1" t="s">
        <v>2076</v>
      </c>
      <c r="I363" s="34" t="e">
        <f>HYPERLINK(DiscoveryTable5[[#This Row],[Case Number]],COUNTIF(#REF!,DiscoveryTable5[[#This Row],[Case Number]]))</f>
        <v>#REF!</v>
      </c>
      <c r="J363" s="28" t="s">
        <v>2077</v>
      </c>
    </row>
    <row r="364" spans="1:10" ht="141.75" x14ac:dyDescent="0.25">
      <c r="A364" s="27" t="s">
        <v>2078</v>
      </c>
      <c r="B364" s="1" t="s">
        <v>2079</v>
      </c>
      <c r="C364" s="1" t="s">
        <v>23</v>
      </c>
      <c r="D364" s="1" t="s">
        <v>2080</v>
      </c>
      <c r="E364" s="1" t="s">
        <v>34</v>
      </c>
      <c r="F364" s="1" t="s">
        <v>35</v>
      </c>
      <c r="G364" s="22" t="s">
        <v>2081</v>
      </c>
      <c r="H364" s="1" t="s">
        <v>2082</v>
      </c>
      <c r="I364" s="34" t="e">
        <f>HYPERLINK(DiscoveryTable5[[#This Row],[Case Number]],COUNTIF(#REF!,DiscoveryTable5[[#This Row],[Case Number]]))</f>
        <v>#REF!</v>
      </c>
      <c r="J364" s="28" t="s">
        <v>2083</v>
      </c>
    </row>
    <row r="365" spans="1:10" ht="299.25" hidden="1" x14ac:dyDescent="0.25">
      <c r="A365" s="27" t="s">
        <v>2084</v>
      </c>
      <c r="B365" s="1" t="s">
        <v>2085</v>
      </c>
      <c r="C365" s="1" t="s">
        <v>23</v>
      </c>
      <c r="D365" s="1" t="s">
        <v>2086</v>
      </c>
      <c r="E365" s="1" t="s">
        <v>25</v>
      </c>
      <c r="F365" s="1" t="s">
        <v>26</v>
      </c>
      <c r="G365" s="22" t="s">
        <v>2087</v>
      </c>
      <c r="H365" s="1" t="s">
        <v>2088</v>
      </c>
      <c r="I365" s="34" t="e">
        <f>HYPERLINK(DiscoveryTable5[[#This Row],[Case Number]],COUNTIF(#REF!,DiscoveryTable5[[#This Row],[Case Number]]))</f>
        <v>#REF!</v>
      </c>
      <c r="J365" s="28" t="s">
        <v>2089</v>
      </c>
    </row>
    <row r="366" spans="1:10" ht="47.25" x14ac:dyDescent="0.25">
      <c r="A366" s="27" t="s">
        <v>2090</v>
      </c>
      <c r="B366" s="1" t="s">
        <v>2091</v>
      </c>
      <c r="C366" s="1" t="s">
        <v>2092</v>
      </c>
      <c r="D366" s="1" t="s">
        <v>2093</v>
      </c>
      <c r="E366" s="1" t="s">
        <v>25</v>
      </c>
      <c r="F366" s="1" t="s">
        <v>26</v>
      </c>
      <c r="G366" s="22" t="s">
        <v>2094</v>
      </c>
      <c r="H366" s="1" t="s">
        <v>2095</v>
      </c>
      <c r="I366" s="34" t="e">
        <f>HYPERLINK(DiscoveryTable5[[#This Row],[Case Number]],COUNTIF(#REF!,DiscoveryTable5[[#This Row],[Case Number]]))</f>
        <v>#REF!</v>
      </c>
      <c r="J366" s="28" t="s">
        <v>2096</v>
      </c>
    </row>
    <row r="367" spans="1:10" ht="78.75" x14ac:dyDescent="0.25">
      <c r="A367" s="27" t="s">
        <v>2097</v>
      </c>
      <c r="B367" s="1" t="s">
        <v>2098</v>
      </c>
      <c r="C367" s="1" t="s">
        <v>2099</v>
      </c>
      <c r="D367" s="1" t="s">
        <v>2100</v>
      </c>
      <c r="E367" s="1" t="s">
        <v>2101</v>
      </c>
      <c r="F367" s="1" t="s">
        <v>2102</v>
      </c>
      <c r="G367" s="22" t="s">
        <v>2103</v>
      </c>
      <c r="H367" s="1" t="s">
        <v>2104</v>
      </c>
      <c r="I367" s="34" t="e">
        <f>HYPERLINK(DiscoveryTable5[[#This Row],[Case Number]],COUNTIF(#REF!,DiscoveryTable5[[#This Row],[Case Number]]))</f>
        <v>#REF!</v>
      </c>
      <c r="J367" s="28" t="s">
        <v>2105</v>
      </c>
    </row>
    <row r="368" spans="1:10" ht="283.5" x14ac:dyDescent="0.25">
      <c r="A368" s="27" t="s">
        <v>2106</v>
      </c>
      <c r="B368" s="1" t="s">
        <v>2107</v>
      </c>
      <c r="C368" s="1" t="s">
        <v>2108</v>
      </c>
      <c r="D368" s="1" t="s">
        <v>2100</v>
      </c>
      <c r="E368" s="1" t="s">
        <v>2109</v>
      </c>
      <c r="F368" s="1" t="s">
        <v>2110</v>
      </c>
      <c r="G368" s="22" t="s">
        <v>2111</v>
      </c>
      <c r="H368" s="1" t="s">
        <v>2112</v>
      </c>
      <c r="I368" s="34" t="e">
        <f>HYPERLINK(DiscoveryTable5[[#This Row],[Case Number]],COUNTIF(#REF!,DiscoveryTable5[[#This Row],[Case Number]]))</f>
        <v>#REF!</v>
      </c>
      <c r="J368" s="28" t="s">
        <v>2113</v>
      </c>
    </row>
    <row r="369" spans="1:10" ht="330.75" x14ac:dyDescent="0.25">
      <c r="A369" s="27" t="s">
        <v>2114</v>
      </c>
      <c r="B369" s="1" t="s">
        <v>2115</v>
      </c>
      <c r="C369" s="1" t="s">
        <v>2116</v>
      </c>
      <c r="D369" s="1" t="s">
        <v>2117</v>
      </c>
      <c r="E369" s="1" t="s">
        <v>25</v>
      </c>
      <c r="F369" s="1" t="s">
        <v>26</v>
      </c>
      <c r="G369" s="22" t="s">
        <v>2118</v>
      </c>
      <c r="H369" s="1" t="s">
        <v>2119</v>
      </c>
      <c r="I369" s="34" t="e">
        <f>HYPERLINK(DiscoveryTable5[[#This Row],[Case Number]],COUNTIF(#REF!,DiscoveryTable5[[#This Row],[Case Number]]))</f>
        <v>#REF!</v>
      </c>
      <c r="J369" s="28" t="s">
        <v>2120</v>
      </c>
    </row>
    <row r="370" spans="1:10" ht="94.5" x14ac:dyDescent="0.25">
      <c r="A370" s="29" t="s">
        <v>2121</v>
      </c>
      <c r="B370" s="2" t="s">
        <v>2122</v>
      </c>
      <c r="C370" s="2" t="s">
        <v>2123</v>
      </c>
      <c r="D370" s="2" t="s">
        <v>2124</v>
      </c>
      <c r="E370" s="2" t="s">
        <v>25</v>
      </c>
      <c r="F370" s="2" t="s">
        <v>26</v>
      </c>
      <c r="G370" s="23" t="s">
        <v>2125</v>
      </c>
      <c r="H370" s="2" t="s">
        <v>2126</v>
      </c>
      <c r="I370" s="35" t="e">
        <f>HYPERLINK(DiscoveryTable5[[#This Row],[Case Number]],COUNTIF(#REF!,DiscoveryTable5[[#This Row],[Case Number]]))</f>
        <v>#REF!</v>
      </c>
      <c r="J370" s="30" t="s">
        <v>2127</v>
      </c>
    </row>
    <row r="371" spans="1:10" ht="15.75" x14ac:dyDescent="0.25">
      <c r="A371" s="33" t="s">
        <v>2128</v>
      </c>
      <c r="B371" s="11">
        <v>353</v>
      </c>
      <c r="C371" s="11"/>
      <c r="D371" s="11"/>
      <c r="E371" s="11"/>
      <c r="F371" s="11"/>
      <c r="G371" s="24"/>
      <c r="H371" s="11"/>
      <c r="I371" s="11"/>
    </row>
    <row r="372" spans="1:10" x14ac:dyDescent="0.25">
      <c r="A372" s="7"/>
      <c r="B372" s="7"/>
      <c r="C372" s="7"/>
      <c r="D372" s="7"/>
      <c r="E372" s="7"/>
      <c r="F372" s="7"/>
      <c r="G372" s="18"/>
      <c r="H372" s="7"/>
      <c r="I372" s="7"/>
    </row>
    <row r="373" spans="1:10" x14ac:dyDescent="0.25">
      <c r="A373" s="12"/>
      <c r="B373" s="12"/>
      <c r="C373" s="12"/>
      <c r="D373" s="12"/>
      <c r="E373" s="12"/>
      <c r="F373" s="12"/>
      <c r="G373" s="25"/>
      <c r="H373" s="12"/>
      <c r="I373" s="12"/>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SFDownload Parameters</vt:lpstr>
      <vt:lpstr>Linked Entity Table</vt:lpstr>
      <vt:lpstr>All WSC TSI Complaints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Jack D. Pond</cp:lastModifiedBy>
  <dcterms:created xsi:type="dcterms:W3CDTF">2021-09-01T22:44:04Z</dcterms:created>
  <dcterms:modified xsi:type="dcterms:W3CDTF">2021-10-01T22:29:00Z</dcterms:modified>
</cp:coreProperties>
</file>